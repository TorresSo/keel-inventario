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05" windowWidth="21255" windowHeight="9735"/>
  </bookViews>
  <sheets>
    <sheet name="ARTICULOS " sheetId="1" r:id="rId1"/>
    <sheet name="BETA-CHINO" sheetId="6" r:id="rId2"/>
    <sheet name="BASES" sheetId="2" r:id="rId3"/>
    <sheet name="MATERIA PRIMA" sheetId="3" r:id="rId4"/>
    <sheet name="INSUMOS" sheetId="4" r:id="rId5"/>
    <sheet name="FIBRA" sheetId="5" r:id="rId6"/>
  </sheets>
  <calcPr calcId="124519"/>
</workbook>
</file>

<file path=xl/calcChain.xml><?xml version="1.0" encoding="utf-8"?>
<calcChain xmlns="http://schemas.openxmlformats.org/spreadsheetml/2006/main">
  <c r="E13" i="1"/>
  <c r="E11"/>
  <c r="E12"/>
  <c r="E17"/>
  <c r="F17" s="1"/>
  <c r="E34"/>
  <c r="E32"/>
  <c r="E21"/>
  <c r="E27"/>
  <c r="E37"/>
  <c r="E40"/>
  <c r="E5"/>
  <c r="E68"/>
  <c r="E71"/>
  <c r="E70"/>
  <c r="E58"/>
  <c r="E57"/>
  <c r="E46"/>
  <c r="E47"/>
  <c r="E39"/>
  <c r="E33"/>
  <c r="E31"/>
  <c r="E28"/>
  <c r="E25"/>
  <c r="E20"/>
  <c r="E10"/>
  <c r="E7"/>
  <c r="E6"/>
  <c r="D39" i="6"/>
  <c r="D34"/>
  <c r="E34" s="1"/>
  <c r="D33"/>
  <c r="H29" s="1"/>
  <c r="D32"/>
  <c r="I24" s="1"/>
  <c r="D42"/>
  <c r="E42" s="1"/>
  <c r="E5" i="2"/>
  <c r="E10"/>
  <c r="E15"/>
  <c r="E8"/>
  <c r="E17"/>
  <c r="E51" i="1"/>
  <c r="E50"/>
  <c r="E38"/>
  <c r="E36"/>
  <c r="E19"/>
  <c r="E16"/>
  <c r="E48"/>
  <c r="D3" i="6"/>
  <c r="D9"/>
  <c r="D8"/>
  <c r="E44" i="1"/>
  <c r="D40" i="6"/>
  <c r="E39"/>
  <c r="D37"/>
  <c r="E37" s="1"/>
  <c r="E35" i="1"/>
  <c r="E18"/>
  <c r="E8"/>
  <c r="E26"/>
  <c r="E60"/>
  <c r="E41"/>
  <c r="D36" i="6"/>
  <c r="E56" i="1"/>
  <c r="E12" i="2"/>
  <c r="E16"/>
  <c r="E9"/>
  <c r="E14"/>
  <c r="D21" i="6"/>
  <c r="E4" i="2"/>
  <c r="E13"/>
  <c r="E62" i="1"/>
  <c r="E14"/>
  <c r="E42"/>
  <c r="K9"/>
  <c r="E43"/>
  <c r="E63"/>
  <c r="E3" i="2"/>
  <c r="E36" i="6"/>
  <c r="D38"/>
  <c r="E38" s="1"/>
  <c r="D35"/>
  <c r="E35" s="1"/>
  <c r="E61" i="1"/>
  <c r="E59"/>
  <c r="E45"/>
  <c r="E29"/>
  <c r="E72"/>
  <c r="E55"/>
  <c r="E15"/>
  <c r="I13"/>
  <c r="H14" i="6"/>
  <c r="E9" i="1"/>
  <c r="H42" i="6"/>
  <c r="D26"/>
  <c r="D25"/>
  <c r="D6"/>
  <c r="D5"/>
  <c r="D4"/>
  <c r="E20" i="2"/>
  <c r="E43" i="6"/>
  <c r="E22" i="1"/>
  <c r="F22" s="1"/>
  <c r="E64"/>
  <c r="E11" i="2"/>
  <c r="E24"/>
  <c r="E75" i="1"/>
  <c r="D41" i="6"/>
  <c r="E41" s="1"/>
  <c r="G34"/>
  <c r="G33"/>
  <c r="G32"/>
  <c r="E67" i="1"/>
  <c r="E40" i="6"/>
  <c r="H36"/>
  <c r="H35"/>
  <c r="E6" i="2"/>
  <c r="E83" i="1"/>
  <c r="E82"/>
  <c r="D16" i="6"/>
  <c r="D24"/>
  <c r="E66" i="1"/>
  <c r="E69"/>
  <c r="H24" i="6"/>
  <c r="D28"/>
  <c r="D18"/>
  <c r="D22"/>
  <c r="L17" i="1"/>
  <c r="K65"/>
  <c r="D20" i="6"/>
  <c r="D7"/>
  <c r="E8" i="5"/>
  <c r="D19" i="6"/>
  <c r="E25" i="2"/>
  <c r="E2"/>
  <c r="E9" i="4"/>
  <c r="E8"/>
  <c r="E7"/>
  <c r="E26" i="2"/>
  <c r="D23" i="6"/>
  <c r="E2" i="4"/>
  <c r="E23" i="2"/>
  <c r="I50" i="1"/>
  <c r="D17" i="6"/>
  <c r="H2" i="4"/>
  <c r="E33" i="6" l="1"/>
  <c r="E32"/>
  <c r="D29"/>
  <c r="I68" i="1"/>
  <c r="F10"/>
  <c r="I72"/>
  <c r="I71"/>
  <c r="I70"/>
  <c r="F12"/>
  <c r="F11"/>
  <c r="D15" i="6"/>
  <c r="D12"/>
  <c r="D11"/>
  <c r="E11"/>
  <c r="E28"/>
  <c r="K71" i="1"/>
  <c r="K72"/>
  <c r="K70"/>
  <c r="E15" i="6"/>
  <c r="E13"/>
  <c r="D14"/>
  <c r="D10"/>
  <c r="E27" i="2" l="1"/>
  <c r="E29" i="6"/>
  <c r="E16"/>
  <c r="E5"/>
  <c r="F72" i="1"/>
  <c r="F71"/>
  <c r="F70"/>
  <c r="F68"/>
  <c r="F47"/>
  <c r="F44"/>
  <c r="F43"/>
  <c r="F42"/>
  <c r="F39"/>
  <c r="F37"/>
  <c r="F36"/>
  <c r="F35"/>
  <c r="F34"/>
  <c r="F33"/>
  <c r="F32"/>
  <c r="F31"/>
  <c r="F29"/>
  <c r="F28"/>
  <c r="F27"/>
  <c r="F20"/>
  <c r="F13"/>
  <c r="F7"/>
  <c r="F6"/>
  <c r="F5"/>
  <c r="F16" i="2"/>
  <c r="F8"/>
  <c r="F24"/>
  <c r="F13"/>
  <c r="F25" i="1"/>
  <c r="F46"/>
  <c r="F64"/>
  <c r="F62"/>
  <c r="F40"/>
  <c r="F19"/>
  <c r="F14"/>
  <c r="F5" i="2"/>
  <c r="F51" i="1"/>
  <c r="F50"/>
  <c r="F53"/>
  <c r="F52"/>
  <c r="F26"/>
  <c r="F58"/>
  <c r="I58" s="1"/>
  <c r="F60"/>
  <c r="I60" s="1"/>
  <c r="F8"/>
  <c r="F57"/>
  <c r="I57" s="1"/>
  <c r="F63"/>
  <c r="F38"/>
  <c r="F24"/>
  <c r="F18"/>
  <c r="F61"/>
  <c r="I61" s="1"/>
  <c r="F16"/>
  <c r="F9" i="4"/>
  <c r="E6" i="6"/>
  <c r="E8"/>
  <c r="E4"/>
  <c r="E14"/>
  <c r="E7"/>
  <c r="F75" i="1"/>
  <c r="F4" i="2"/>
  <c r="F9"/>
  <c r="F41" i="1"/>
  <c r="E26" i="6"/>
  <c r="E25"/>
  <c r="F26" i="2"/>
  <c r="E30"/>
  <c r="F11"/>
  <c r="F8" i="5"/>
  <c r="F12" i="2"/>
  <c r="F69" i="1"/>
  <c r="F45"/>
  <c r="F5" i="4"/>
  <c r="F6"/>
  <c r="F15" i="2"/>
  <c r="E21" i="6"/>
  <c r="F48" i="1"/>
  <c r="F56"/>
  <c r="I56" s="1"/>
  <c r="F2" i="2"/>
  <c r="F2" i="4"/>
  <c r="F10" i="2"/>
  <c r="F17"/>
  <c r="E20" i="6"/>
  <c r="E3"/>
  <c r="F67" i="1"/>
  <c r="F55"/>
  <c r="I55" s="1"/>
  <c r="F14" i="2"/>
  <c r="F74" i="1"/>
  <c r="E12" i="6"/>
  <c r="E10"/>
  <c r="E2" i="3"/>
  <c r="F2" s="1"/>
  <c r="F59" i="1"/>
  <c r="I59" s="1"/>
  <c r="F11" i="3"/>
  <c r="F3" i="4"/>
  <c r="F4"/>
  <c r="F7"/>
  <c r="F12" i="3"/>
  <c r="E23" i="6"/>
  <c r="E22"/>
  <c r="E17"/>
  <c r="E9"/>
  <c r="F18" i="2"/>
  <c r="E24" i="6"/>
  <c r="D27"/>
  <c r="E27" s="1"/>
  <c r="F20" i="2"/>
  <c r="E21"/>
  <c r="F21" s="1"/>
  <c r="F25"/>
  <c r="E19" i="6"/>
  <c r="E18"/>
  <c r="F4" i="1"/>
  <c r="F23" i="2"/>
  <c r="E9" i="5"/>
  <c r="F9" s="1"/>
  <c r="F6" i="2"/>
  <c r="G9" i="5"/>
  <c r="G8"/>
  <c r="G7"/>
  <c r="F7"/>
  <c r="G6"/>
  <c r="F6"/>
  <c r="G5"/>
  <c r="F5"/>
  <c r="G4"/>
  <c r="F4"/>
  <c r="G3"/>
  <c r="F3"/>
  <c r="G2"/>
  <c r="F2"/>
  <c r="F21" i="4"/>
  <c r="F20"/>
  <c r="F19"/>
  <c r="F18"/>
  <c r="F17"/>
  <c r="F16"/>
  <c r="F15"/>
  <c r="F14"/>
  <c r="F13"/>
  <c r="F12"/>
  <c r="F8"/>
  <c r="F13" i="3"/>
  <c r="F10"/>
  <c r="F9"/>
  <c r="F8"/>
  <c r="F7"/>
  <c r="F6"/>
  <c r="F5"/>
  <c r="F4"/>
  <c r="F3"/>
  <c r="F22" i="2"/>
  <c r="F19"/>
  <c r="F7"/>
  <c r="F3"/>
  <c r="F83" i="1"/>
  <c r="F82"/>
  <c r="F81"/>
  <c r="F80"/>
  <c r="F79"/>
  <c r="F78"/>
  <c r="F77"/>
  <c r="F76"/>
  <c r="F66"/>
  <c r="F65"/>
  <c r="I62" l="1"/>
  <c r="F27" i="2"/>
  <c r="F21" i="1"/>
</calcChain>
</file>

<file path=xl/comments1.xml><?xml version="1.0" encoding="utf-8"?>
<comments xmlns="http://schemas.openxmlformats.org/spreadsheetml/2006/main">
  <authors>
    <author>Admin</author>
  </authors>
  <commentList>
    <comment ref="E10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<sst xmlns="http://schemas.openxmlformats.org/spreadsheetml/2006/main" count="293" uniqueCount="214">
  <si>
    <t>RECUENTO STOCK ACTUALIZADO</t>
  </si>
  <si>
    <t>ESCOBILLONES</t>
  </si>
  <si>
    <t>FR</t>
  </si>
  <si>
    <t>CANT CAJ</t>
  </si>
  <si>
    <t>CANT UNID</t>
  </si>
  <si>
    <t>210B</t>
  </si>
  <si>
    <t>ESCOBILLON</t>
  </si>
  <si>
    <t>PREMIUM</t>
  </si>
  <si>
    <t>COMPACTO</t>
  </si>
  <si>
    <t>ROBLE</t>
  </si>
  <si>
    <t>ARRAYAN</t>
  </si>
  <si>
    <t>NAHUEL</t>
  </si>
  <si>
    <t>SUPER KALPON</t>
  </si>
  <si>
    <t>ARAUCANO</t>
  </si>
  <si>
    <t xml:space="preserve">PUCARA </t>
  </si>
  <si>
    <t>GOLF</t>
  </si>
  <si>
    <t>LACAR</t>
  </si>
  <si>
    <t>PANDA</t>
  </si>
  <si>
    <t>FORTE</t>
  </si>
  <si>
    <t>TRAFUL</t>
  </si>
  <si>
    <t>ACONCAGUA</t>
  </si>
  <si>
    <t>ARCE</t>
  </si>
  <si>
    <t>MARCELO</t>
  </si>
  <si>
    <t>ESCOBAS</t>
  </si>
  <si>
    <t>ESCOBA</t>
  </si>
  <si>
    <t>KUMELEN</t>
  </si>
  <si>
    <t>EUROPA</t>
  </si>
  <si>
    <t>CUYEN</t>
  </si>
  <si>
    <t>ANDINA</t>
  </si>
  <si>
    <t>AMERICANA</t>
  </si>
  <si>
    <t>JARDINERA AMERICANA</t>
  </si>
  <si>
    <t>CEPILLOS</t>
  </si>
  <si>
    <t>CEPILLO</t>
  </si>
  <si>
    <t>LAVACAMION</t>
  </si>
  <si>
    <t>LAVA AUTO</t>
  </si>
  <si>
    <t>PISO</t>
  </si>
  <si>
    <t>MANO C/ MANIJA</t>
  </si>
  <si>
    <t>BARRENDERO</t>
  </si>
  <si>
    <t>CEPILLO BAÑO</t>
  </si>
  <si>
    <t>CEPILLO BAÑO C/DEP</t>
  </si>
  <si>
    <t>CEPILLO MAPU-JEAN</t>
  </si>
  <si>
    <t>LAVA ZAPATILLAS</t>
  </si>
  <si>
    <t>LIMPIA TECHO</t>
  </si>
  <si>
    <t>ANDEN 40 CM.</t>
  </si>
  <si>
    <t>ANDEN 60 CM.</t>
  </si>
  <si>
    <t>ANDEN 40 CM. BARRENDERO</t>
  </si>
  <si>
    <t>ANDEN 60 CM. BARRENDERO</t>
  </si>
  <si>
    <t>LIMPIA ESPALDAS</t>
  </si>
  <si>
    <t>LIMPIA UÑAS</t>
  </si>
  <si>
    <t>PLANCHITA</t>
  </si>
  <si>
    <t>LAVA LLANTAS</t>
  </si>
  <si>
    <t>SECADORES</t>
  </si>
  <si>
    <t>SECADOR EPU</t>
  </si>
  <si>
    <t>SECADOR EPU 35</t>
  </si>
  <si>
    <t>VARIOS</t>
  </si>
  <si>
    <t>TRAPO DE PISO GRIS X 60</t>
  </si>
  <si>
    <t>PALA CLIP</t>
  </si>
  <si>
    <t>BARRE HOJAS</t>
  </si>
  <si>
    <t>PALA CON CABO</t>
  </si>
  <si>
    <t>BALDE CON ESCURRIDOR 15L</t>
  </si>
  <si>
    <t>BALDE 12 LTS</t>
  </si>
  <si>
    <t>BALDE 10 LTS ECONO</t>
  </si>
  <si>
    <t>BARRE HOJAS PRO</t>
  </si>
  <si>
    <t>PALA CLIP PREMIUM</t>
  </si>
  <si>
    <t>LIMPIA VIDRIOS</t>
  </si>
  <si>
    <t>CABOS</t>
  </si>
  <si>
    <t>CABO</t>
  </si>
  <si>
    <t>FINGER</t>
  </si>
  <si>
    <t>CABO BARRENDERO</t>
  </si>
  <si>
    <t>METALICO</t>
  </si>
  <si>
    <t>CABO 1,30</t>
  </si>
  <si>
    <t>ESPONJAS</t>
  </si>
  <si>
    <t>ESPONJA MULTIUSO</t>
  </si>
  <si>
    <t>ESPONJA A CUADROS</t>
  </si>
  <si>
    <t>ANDENES BASE MADERA</t>
  </si>
  <si>
    <t>ANDEN CERDA 60 CM</t>
  </si>
  <si>
    <t>ANDEN CERDA 80 CM</t>
  </si>
  <si>
    <t>ANDEN CERDA 100 CM</t>
  </si>
  <si>
    <t>ANDEN PLASTICO 80 CM</t>
  </si>
  <si>
    <t>ANDEN PLASTICO 100 CM</t>
  </si>
  <si>
    <t>ANDEN BARRENDERO 80CM</t>
  </si>
  <si>
    <t>ANDEN BARRENDERO 100CM</t>
  </si>
  <si>
    <t>BASES</t>
  </si>
  <si>
    <t>1016A</t>
  </si>
  <si>
    <t>PANDA PINTADO</t>
  </si>
  <si>
    <t>PANDA X</t>
  </si>
  <si>
    <t>PAVONE</t>
  </si>
  <si>
    <t>BASS</t>
  </si>
  <si>
    <t>DUCATO</t>
  </si>
  <si>
    <t>GOLF X</t>
  </si>
  <si>
    <t>VIOLIN</t>
  </si>
  <si>
    <t>INCLINADO</t>
  </si>
  <si>
    <t>PLANCHA</t>
  </si>
  <si>
    <t>PALITO LIMPIA TECHO</t>
  </si>
  <si>
    <t>PALITO WC</t>
  </si>
  <si>
    <t>NOVIZA</t>
  </si>
  <si>
    <t>BASE PINTADAS NERI</t>
  </si>
  <si>
    <t>LUNA</t>
  </si>
  <si>
    <t>GOTA</t>
  </si>
  <si>
    <t>PAVONE PINTADO</t>
  </si>
  <si>
    <t>GOLF PINTADO</t>
  </si>
  <si>
    <t>TOTAL BASES</t>
  </si>
  <si>
    <t>PP BCO</t>
  </si>
  <si>
    <t>PP COLOR</t>
  </si>
  <si>
    <t>PP VIRGEN</t>
  </si>
  <si>
    <t>OTRO PP</t>
  </si>
  <si>
    <t>PE</t>
  </si>
  <si>
    <t>PREFORMA CRISTAL</t>
  </si>
  <si>
    <t>PREFORMA COLOR</t>
  </si>
  <si>
    <t>BOTELLA CRISTAL</t>
  </si>
  <si>
    <t>BOTELLA COLOR</t>
  </si>
  <si>
    <t>BICARBONATO X KG</t>
  </si>
  <si>
    <t>EXPANDENTE (AZO) X KG</t>
  </si>
  <si>
    <t>AGRUMADO</t>
  </si>
  <si>
    <t>TOTAL MATERIA PRIMAS</t>
  </si>
  <si>
    <t>ALAMBRE 0,80 mm X KG</t>
  </si>
  <si>
    <t>ALAMBRE 1,00 mm X KG</t>
  </si>
  <si>
    <t>GOMAS SECADOR 42</t>
  </si>
  <si>
    <t>GOMAS SECADOR 35</t>
  </si>
  <si>
    <t>PALITOS SECADORES 42</t>
  </si>
  <si>
    <t>PALITOS SECADORES 35</t>
  </si>
  <si>
    <t>CINTA ADHESIVA</t>
  </si>
  <si>
    <t>TOTAL OTROS 1</t>
  </si>
  <si>
    <t>ETIQUETAS AMARILLAS</t>
  </si>
  <si>
    <t>ETIQUETAS AZULES</t>
  </si>
  <si>
    <t>ETIQUETAS NARANJAS</t>
  </si>
  <si>
    <t>ETIQUETAS BLANCAS 50X25</t>
  </si>
  <si>
    <t>ETIQUETAS DUN</t>
  </si>
  <si>
    <t>ETIQUETAS OPP GRISES</t>
  </si>
  <si>
    <t>RIBBON</t>
  </si>
  <si>
    <t>FAJAS KUMELEN</t>
  </si>
  <si>
    <t>CARTONES NEWEN</t>
  </si>
  <si>
    <t>CAJAS PARA ESCOBILLONES APROX</t>
  </si>
  <si>
    <t>CORRESP AL ULT PEDIDO COMPLETO</t>
  </si>
  <si>
    <t>TOTAL OTROS 2</t>
  </si>
  <si>
    <t>N° CAJA</t>
  </si>
  <si>
    <t>-</t>
  </si>
  <si>
    <t>FIBRA 15 X KG</t>
  </si>
  <si>
    <t>FIBRA YUTE X KG</t>
  </si>
  <si>
    <t>FIBRA 17 X KG</t>
  </si>
  <si>
    <t>FIBRA 22 X KG</t>
  </si>
  <si>
    <t>FIBRA 18,5 X KG</t>
  </si>
  <si>
    <t>FIBRA 7,5 X KG</t>
  </si>
  <si>
    <t>FIBRA PVC LAVA AUTO / CAMION</t>
  </si>
  <si>
    <t>FIBRA PVC LACAR</t>
  </si>
  <si>
    <t>TOTAL FIBRA</t>
  </si>
  <si>
    <t>FIBRA</t>
  </si>
  <si>
    <t>MATERIA PRIMA</t>
  </si>
  <si>
    <t>SECADOR KALPON 42 CM</t>
  </si>
  <si>
    <t>SECADOR KALPON ECONO 42 CM</t>
  </si>
  <si>
    <t>CANTIDAD MINIMA</t>
  </si>
  <si>
    <t>ESPONJA MULTIUSO c/ IONES DE PLATA</t>
  </si>
  <si>
    <t>ESPONJA TEFLÓN NO RAYA c/ IONES DE PLATA</t>
  </si>
  <si>
    <t>ESPONJA LIMPIEZA PESADA c/ IONES DE PLATA</t>
  </si>
  <si>
    <t>ESPONJA METALIZADA - Verde / Lila / Plateada</t>
  </si>
  <si>
    <t>ESPONJA BRILHUS MULTIUSO</t>
  </si>
  <si>
    <t xml:space="preserve">ESPONJA BRILHUS SALVA UÑAS </t>
  </si>
  <si>
    <t>ESPONJA JEITOSA MULTIUSO</t>
  </si>
  <si>
    <t>ESPONJA PARA BAÑO c/ ABRASIVIDAD</t>
  </si>
  <si>
    <t xml:space="preserve">ESPONJA PARA BAÑO INFANTIL </t>
  </si>
  <si>
    <t>ESPONJA BAÑO ADULTO SLOW</t>
  </si>
  <si>
    <t>PLUMERO DE  MICROFIBRA LARGO ALCANCE</t>
  </si>
  <si>
    <t>GUANTE de  MICROFIBRA</t>
  </si>
  <si>
    <t>PALA REBATIBLE c/cabo Novica</t>
  </si>
  <si>
    <t>ROLLO SACA PELUSA</t>
  </si>
  <si>
    <t>Broche Plástico         (16 unid.)</t>
  </si>
  <si>
    <t>ANTIHUMEDAD LAVANDA 130 Grs</t>
  </si>
  <si>
    <t>Dispenser Detergente y Soporte de Esponja c/ bandeja BLANCO</t>
  </si>
  <si>
    <t>Dispenser Detergente y Soporte de Esponja c/ bandeja GRIS FUME</t>
  </si>
  <si>
    <t>BT484</t>
  </si>
  <si>
    <t>BT487</t>
  </si>
  <si>
    <t>BT4451</t>
  </si>
  <si>
    <t>BT1981</t>
  </si>
  <si>
    <t>BT3501</t>
  </si>
  <si>
    <t>BT712</t>
  </si>
  <si>
    <t>OR45710</t>
  </si>
  <si>
    <t>OR45720</t>
  </si>
  <si>
    <t>LIMPIA VIDROS FIT - 50 cm</t>
  </si>
  <si>
    <t>STOCK BETTANIN</t>
  </si>
  <si>
    <t>BT5007</t>
  </si>
  <si>
    <t>MICROFIBRA ESFREBOM MULTIUSO</t>
  </si>
  <si>
    <t>BASURERO BASCULANTE 60L 41X31,3X74 CM</t>
  </si>
  <si>
    <t>LS7500</t>
  </si>
  <si>
    <t>ESPONJA DE BAÑO MASAJEADORA</t>
  </si>
  <si>
    <t>CABO EXTENSIBLE 2,00</t>
  </si>
  <si>
    <t>CABO EXTENSIBLE 1,50</t>
  </si>
  <si>
    <t xml:space="preserve">CABO EXTENSIBLE 3,00 </t>
  </si>
  <si>
    <t>CARTONES WC/FAJAS</t>
  </si>
  <si>
    <t>B</t>
  </si>
  <si>
    <t>ESPONJA DOBLE CARA INOX</t>
  </si>
  <si>
    <t xml:space="preserve"> </t>
  </si>
  <si>
    <t>|</t>
  </si>
  <si>
    <t>BT495</t>
  </si>
  <si>
    <t>LS7509</t>
  </si>
  <si>
    <t>LS7503</t>
  </si>
  <si>
    <t>ESPONJA BAÑO EXFOLIANTE</t>
  </si>
  <si>
    <t>SLOW ESPONJA BAÑO DUO</t>
  </si>
  <si>
    <t>ESCOBILLON PEHUEN 2248</t>
  </si>
  <si>
    <t>ESCOBILLON BOREAL 2290</t>
  </si>
  <si>
    <t>ESCOBILLON ZORZAL  2251</t>
  </si>
  <si>
    <t>SET DE AEROPUERTO 2312</t>
  </si>
  <si>
    <t>LIMPIA VIDRIO EXTENSIBLE 2603</t>
  </si>
  <si>
    <t>LAVA LLANTA PREMIUM 1269</t>
  </si>
  <si>
    <t>SET BALDE GIRATORIO</t>
  </si>
  <si>
    <t>SECA VIDRIO</t>
  </si>
  <si>
    <t>CEPILLO MULTIUSO</t>
  </si>
  <si>
    <t>REPUESTO MOPAS</t>
  </si>
  <si>
    <t>}</t>
  </si>
  <si>
    <t>CEPILLO MULTIUSO PREMIUM (X 24 UNI)</t>
  </si>
  <si>
    <t>SET BALDE GIRATORIO UNITARIO</t>
  </si>
  <si>
    <t>GONDOLA KALPON (WAMPO)</t>
  </si>
  <si>
    <t>ECONO MAPUCHE</t>
  </si>
  <si>
    <t>ECONO NUVIA</t>
  </si>
  <si>
    <t>SUPER NUVIA</t>
  </si>
</sst>
</file>

<file path=xl/styles.xml><?xml version="1.0" encoding="utf-8"?>
<styleSheet xmlns="http://schemas.openxmlformats.org/spreadsheetml/2006/main">
  <numFmts count="2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6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5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b/>
      <sz val="15"/>
      <name val="Arial"/>
      <family val="2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/>
  </cellStyleXfs>
  <cellXfs count="105">
    <xf numFmtId="0" fontId="0" fillId="0" borderId="0" xfId="0"/>
    <xf numFmtId="0" fontId="3" fillId="0" borderId="0" xfId="2" applyFont="1" applyFill="1" applyBorder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center"/>
    </xf>
    <xf numFmtId="0" fontId="4" fillId="0" borderId="4" xfId="2" applyFont="1" applyBorder="1" applyAlignment="1">
      <alignment horizontal="right" vertical="center"/>
    </xf>
    <xf numFmtId="0" fontId="5" fillId="0" borderId="4" xfId="2" applyFont="1" applyBorder="1" applyAlignment="1">
      <alignment horizontal="center"/>
    </xf>
    <xf numFmtId="0" fontId="6" fillId="0" borderId="5" xfId="2" applyFont="1" applyFill="1" applyBorder="1" applyAlignment="1">
      <alignment horizontal="left"/>
    </xf>
    <xf numFmtId="0" fontId="6" fillId="0" borderId="6" xfId="2" applyFont="1" applyFill="1" applyBorder="1" applyAlignment="1">
      <alignment horizontal="left"/>
    </xf>
    <xf numFmtId="0" fontId="6" fillId="0" borderId="6" xfId="2" applyFont="1" applyFill="1" applyBorder="1" applyAlignment="1"/>
    <xf numFmtId="0" fontId="3" fillId="0" borderId="7" xfId="2" applyFont="1" applyFill="1" applyBorder="1" applyAlignment="1">
      <alignment horizontal="center"/>
    </xf>
    <xf numFmtId="0" fontId="3" fillId="0" borderId="7" xfId="2" applyFont="1" applyBorder="1" applyAlignment="1">
      <alignment horizontal="center"/>
    </xf>
    <xf numFmtId="0" fontId="4" fillId="0" borderId="7" xfId="2" applyFont="1" applyBorder="1" applyAlignment="1">
      <alignment horizontal="center" vertical="center"/>
    </xf>
    <xf numFmtId="0" fontId="6" fillId="0" borderId="7" xfId="2" applyFont="1" applyBorder="1" applyAlignment="1">
      <alignment horizontal="left" vertical="center"/>
    </xf>
    <xf numFmtId="0" fontId="7" fillId="0" borderId="7" xfId="2" applyFont="1" applyBorder="1" applyAlignment="1">
      <alignment vertical="center" wrapText="1"/>
    </xf>
    <xf numFmtId="0" fontId="6" fillId="0" borderId="5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4" fillId="0" borderId="7" xfId="2" applyFont="1" applyFill="1" applyBorder="1" applyAlignment="1">
      <alignment horizontal="center" vertical="center"/>
    </xf>
    <xf numFmtId="0" fontId="7" fillId="0" borderId="7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5" fillId="0" borderId="7" xfId="2" applyFont="1" applyBorder="1" applyAlignment="1">
      <alignment horizontal="center"/>
    </xf>
    <xf numFmtId="0" fontId="6" fillId="0" borderId="7" xfId="2" applyFont="1" applyFill="1" applyBorder="1" applyAlignment="1">
      <alignment horizontal="left" vertical="center"/>
    </xf>
    <xf numFmtId="0" fontId="6" fillId="0" borderId="5" xfId="2" applyFont="1" applyFill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left" vertical="center"/>
    </xf>
    <xf numFmtId="0" fontId="7" fillId="0" borderId="6" xfId="2" applyFont="1" applyBorder="1" applyAlignment="1">
      <alignment vertical="center" wrapText="1"/>
    </xf>
    <xf numFmtId="0" fontId="6" fillId="0" borderId="6" xfId="2" applyFont="1" applyBorder="1" applyAlignment="1">
      <alignment horizontal="center" vertical="center"/>
    </xf>
    <xf numFmtId="0" fontId="5" fillId="0" borderId="0" xfId="2" applyFont="1" applyAlignment="1">
      <alignment horizontal="center"/>
    </xf>
    <xf numFmtId="0" fontId="8" fillId="2" borderId="7" xfId="2" applyFont="1" applyFill="1" applyBorder="1" applyAlignment="1">
      <alignment horizontal="center" vertical="center"/>
    </xf>
    <xf numFmtId="0" fontId="9" fillId="2" borderId="7" xfId="2" applyFont="1" applyFill="1" applyBorder="1" applyAlignment="1">
      <alignment horizontal="left" vertical="center"/>
    </xf>
    <xf numFmtId="0" fontId="10" fillId="2" borderId="7" xfId="2" applyFont="1" applyFill="1" applyBorder="1" applyAlignment="1">
      <alignment vertical="center" wrapText="1"/>
    </xf>
    <xf numFmtId="0" fontId="9" fillId="2" borderId="7" xfId="2" applyFont="1" applyFill="1" applyBorder="1" applyAlignment="1">
      <alignment horizontal="center" vertical="center"/>
    </xf>
    <xf numFmtId="0" fontId="3" fillId="2" borderId="7" xfId="2" applyFont="1" applyFill="1" applyBorder="1" applyAlignment="1">
      <alignment horizontal="center"/>
    </xf>
    <xf numFmtId="0" fontId="3" fillId="2" borderId="7" xfId="2" applyFont="1" applyFill="1" applyBorder="1" applyAlignment="1">
      <alignment horizontal="center" vertical="center"/>
    </xf>
    <xf numFmtId="0" fontId="0" fillId="0" borderId="7" xfId="0" applyBorder="1"/>
    <xf numFmtId="0" fontId="4" fillId="3" borderId="7" xfId="2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vertical="center" wrapText="1"/>
    </xf>
    <xf numFmtId="0" fontId="6" fillId="3" borderId="5" xfId="2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0" fillId="3" borderId="7" xfId="0" applyFill="1" applyBorder="1"/>
    <xf numFmtId="0" fontId="0" fillId="3" borderId="0" xfId="0" applyFill="1"/>
    <xf numFmtId="164" fontId="5" fillId="0" borderId="7" xfId="1" applyNumberFormat="1" applyFont="1" applyBorder="1" applyAlignment="1">
      <alignment horizontal="center"/>
    </xf>
    <xf numFmtId="164" fontId="3" fillId="2" borderId="7" xfId="1" applyNumberFormat="1" applyFont="1" applyFill="1" applyBorder="1" applyAlignment="1">
      <alignment horizontal="center"/>
    </xf>
    <xf numFmtId="0" fontId="6" fillId="3" borderId="7" xfId="2" applyFont="1" applyFill="1" applyBorder="1" applyAlignment="1">
      <alignment horizontal="center" vertical="center"/>
    </xf>
    <xf numFmtId="0" fontId="3" fillId="0" borderId="6" xfId="2" applyFont="1" applyFill="1" applyBorder="1" applyAlignment="1"/>
    <xf numFmtId="0" fontId="6" fillId="0" borderId="7" xfId="2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1" applyFont="1"/>
    <xf numFmtId="0" fontId="3" fillId="0" borderId="6" xfId="2" applyFont="1" applyBorder="1" applyAlignment="1">
      <alignment vertical="center" wrapText="1"/>
    </xf>
    <xf numFmtId="0" fontId="3" fillId="3" borderId="6" xfId="2" applyFont="1" applyFill="1" applyBorder="1" applyAlignment="1">
      <alignment vertical="center" wrapText="1"/>
    </xf>
    <xf numFmtId="0" fontId="11" fillId="0" borderId="6" xfId="0" applyFont="1" applyBorder="1"/>
    <xf numFmtId="0" fontId="4" fillId="0" borderId="8" xfId="2" applyFont="1" applyBorder="1" applyAlignment="1">
      <alignment horizontal="right" vertical="center"/>
    </xf>
    <xf numFmtId="0" fontId="5" fillId="0" borderId="8" xfId="2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Fill="1" applyBorder="1" applyAlignment="1">
      <alignment horizontal="center"/>
    </xf>
    <xf numFmtId="0" fontId="11" fillId="0" borderId="0" xfId="0" applyFont="1" applyFill="1" applyBorder="1"/>
    <xf numFmtId="0" fontId="5" fillId="0" borderId="12" xfId="2" applyFont="1" applyFill="1" applyBorder="1" applyAlignment="1">
      <alignment horizontal="center" vertical="center"/>
    </xf>
    <xf numFmtId="0" fontId="3" fillId="0" borderId="13" xfId="2" applyFont="1" applyFill="1" applyBorder="1" applyAlignment="1">
      <alignment horizontal="center"/>
    </xf>
    <xf numFmtId="0" fontId="3" fillId="0" borderId="13" xfId="2" applyFont="1" applyBorder="1" applyAlignment="1">
      <alignment horizontal="center"/>
    </xf>
    <xf numFmtId="0" fontId="4" fillId="0" borderId="14" xfId="2" applyFont="1" applyBorder="1" applyAlignment="1">
      <alignment horizontal="right" vertical="center"/>
    </xf>
    <xf numFmtId="0" fontId="0" fillId="0" borderId="15" xfId="0" applyBorder="1"/>
    <xf numFmtId="0" fontId="6" fillId="0" borderId="16" xfId="2" applyFont="1" applyFill="1" applyBorder="1" applyAlignment="1">
      <alignment horizontal="center"/>
    </xf>
    <xf numFmtId="0" fontId="3" fillId="0" borderId="17" xfId="2" applyFont="1" applyBorder="1" applyAlignment="1">
      <alignment horizontal="center"/>
    </xf>
    <xf numFmtId="0" fontId="6" fillId="0" borderId="16" xfId="2" applyFont="1" applyBorder="1" applyAlignment="1">
      <alignment horizontal="center" vertical="center"/>
    </xf>
    <xf numFmtId="0" fontId="0" fillId="0" borderId="17" xfId="0" applyBorder="1"/>
    <xf numFmtId="0" fontId="6" fillId="3" borderId="16" xfId="2" applyFont="1" applyFill="1" applyBorder="1" applyAlignment="1">
      <alignment horizontal="center" vertical="center"/>
    </xf>
    <xf numFmtId="0" fontId="0" fillId="3" borderId="17" xfId="0" applyFill="1" applyBorder="1"/>
    <xf numFmtId="0" fontId="0" fillId="0" borderId="16" xfId="0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11" fillId="0" borderId="19" xfId="0" applyFont="1" applyFill="1" applyBorder="1"/>
    <xf numFmtId="0" fontId="0" fillId="0" borderId="20" xfId="0" applyFill="1" applyBorder="1" applyAlignment="1">
      <alignment horizontal="center"/>
    </xf>
    <xf numFmtId="0" fontId="5" fillId="0" borderId="21" xfId="2" applyFont="1" applyBorder="1" applyAlignment="1">
      <alignment horizontal="center" vertical="center"/>
    </xf>
    <xf numFmtId="0" fontId="0" fillId="0" borderId="22" xfId="0" applyBorder="1"/>
    <xf numFmtId="0" fontId="0" fillId="0" borderId="14" xfId="0" applyBorder="1"/>
    <xf numFmtId="0" fontId="0" fillId="0" borderId="8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/>
    <xf numFmtId="0" fontId="14" fillId="0" borderId="13" xfId="2" applyFont="1" applyBorder="1" applyAlignment="1">
      <alignment horizontal="center"/>
    </xf>
    <xf numFmtId="0" fontId="14" fillId="0" borderId="8" xfId="2" applyFont="1" applyBorder="1" applyAlignment="1">
      <alignment horizontal="center"/>
    </xf>
    <xf numFmtId="0" fontId="14" fillId="0" borderId="7" xfId="2" applyFont="1" applyBorder="1" applyAlignment="1">
      <alignment horizontal="center" vertical="center"/>
    </xf>
    <xf numFmtId="0" fontId="14" fillId="0" borderId="19" xfId="2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7" xfId="0" applyFont="1" applyFill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0" fillId="0" borderId="26" xfId="0" applyBorder="1"/>
    <xf numFmtId="0" fontId="0" fillId="0" borderId="13" xfId="0" applyBorder="1"/>
    <xf numFmtId="0" fontId="15" fillId="0" borderId="13" xfId="0" applyFont="1" applyFill="1" applyBorder="1" applyAlignment="1">
      <alignment horizontal="center"/>
    </xf>
    <xf numFmtId="0" fontId="0" fillId="0" borderId="27" xfId="0" applyBorder="1"/>
    <xf numFmtId="0" fontId="11" fillId="0" borderId="28" xfId="0" applyFont="1" applyFill="1" applyBorder="1"/>
    <xf numFmtId="0" fontId="3" fillId="3" borderId="16" xfId="2" applyFont="1" applyFill="1" applyBorder="1" applyAlignment="1">
      <alignment vertical="center" wrapText="1"/>
    </xf>
    <xf numFmtId="0" fontId="3" fillId="0" borderId="16" xfId="2" applyFont="1" applyBorder="1" applyAlignment="1">
      <alignment vertical="center" wrapText="1"/>
    </xf>
    <xf numFmtId="0" fontId="3" fillId="0" borderId="29" xfId="2" applyFont="1" applyBorder="1" applyAlignment="1">
      <alignment vertical="center" wrapText="1"/>
    </xf>
    <xf numFmtId="0" fontId="3" fillId="0" borderId="30" xfId="2" applyFont="1" applyBorder="1" applyAlignment="1">
      <alignment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2" xfId="2" applyFont="1" applyFill="1" applyBorder="1" applyAlignment="1">
      <alignment horizontal="center" vertical="center" wrapText="1"/>
    </xf>
    <xf numFmtId="0" fontId="3" fillId="0" borderId="3" xfId="2" applyFont="1" applyFill="1" applyBorder="1" applyAlignment="1">
      <alignment horizontal="center" vertical="center" wrapText="1"/>
    </xf>
    <xf numFmtId="0" fontId="3" fillId="0" borderId="8" xfId="2" applyFont="1" applyFill="1" applyBorder="1" applyAlignment="1">
      <alignment horizontal="center" vertical="center" wrapText="1"/>
    </xf>
  </cellXfs>
  <cellStyles count="5">
    <cellStyle name="          &#10;&#10;386grabber=VGA.3GR&#10;&#10;" xfId="2"/>
    <cellStyle name="Moneda" xfId="1" builtinId="4"/>
    <cellStyle name="Normal" xfId="0" builtinId="0"/>
    <cellStyle name="Normal 11 2" xfId="4"/>
    <cellStyle name="Normal 4" xfId="3"/>
  </cellStyles>
  <dxfs count="3"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L83"/>
  <sheetViews>
    <sheetView tabSelected="1" workbookViewId="0">
      <selection activeCell="E5" sqref="E5"/>
    </sheetView>
  </sheetViews>
  <sheetFormatPr baseColWidth="10" defaultRowHeight="15"/>
  <cols>
    <col min="3" max="3" width="49.28515625" customWidth="1"/>
    <col min="5" max="5" width="15.7109375" bestFit="1" customWidth="1"/>
    <col min="6" max="6" width="14" bestFit="1" customWidth="1"/>
    <col min="9" max="9" width="15.5703125" bestFit="1" customWidth="1"/>
  </cols>
  <sheetData>
    <row r="1" spans="1:11" ht="16.5" thickBot="1">
      <c r="A1" s="101" t="s">
        <v>0</v>
      </c>
      <c r="B1" s="102"/>
      <c r="C1" s="102"/>
      <c r="D1" s="102"/>
      <c r="E1" s="103"/>
      <c r="F1" s="1"/>
      <c r="H1" t="s">
        <v>150</v>
      </c>
      <c r="J1">
        <v>100</v>
      </c>
    </row>
    <row r="2" spans="1:11" ht="15.75">
      <c r="A2" s="2"/>
      <c r="B2" s="3"/>
      <c r="C2" s="3"/>
      <c r="D2" s="4"/>
      <c r="E2" s="5"/>
      <c r="F2" s="5"/>
    </row>
    <row r="3" spans="1:11" ht="15.75">
      <c r="A3" s="6" t="s">
        <v>1</v>
      </c>
      <c r="B3" s="7"/>
      <c r="C3" s="8"/>
      <c r="D3" s="9" t="s">
        <v>2</v>
      </c>
      <c r="E3" s="10" t="s">
        <v>3</v>
      </c>
      <c r="F3" s="10" t="s">
        <v>4</v>
      </c>
      <c r="G3" s="10" t="s">
        <v>135</v>
      </c>
    </row>
    <row r="4" spans="1:11" ht="18.75">
      <c r="A4" s="11" t="s">
        <v>5</v>
      </c>
      <c r="B4" s="12" t="s">
        <v>6</v>
      </c>
      <c r="C4" s="13" t="s">
        <v>7</v>
      </c>
      <c r="D4" s="14">
        <v>18</v>
      </c>
      <c r="E4" s="15">
        <v>0</v>
      </c>
      <c r="F4" s="15">
        <f>+D4*E4</f>
        <v>0</v>
      </c>
      <c r="G4" s="34">
        <v>1</v>
      </c>
    </row>
    <row r="5" spans="1:11" ht="18.75">
      <c r="A5" s="11">
        <v>212</v>
      </c>
      <c r="B5" s="12" t="s">
        <v>6</v>
      </c>
      <c r="C5" s="13" t="s">
        <v>9</v>
      </c>
      <c r="D5" s="14">
        <v>12</v>
      </c>
      <c r="E5" s="15">
        <f>44+60+60+120+60+60-30+120+60+54-80-2-6-10-22-10-23-20</f>
        <v>435</v>
      </c>
      <c r="F5" s="15">
        <f t="shared" ref="F5:F53" si="0">+D5*E5</f>
        <v>5220</v>
      </c>
      <c r="G5" s="34">
        <v>2</v>
      </c>
    </row>
    <row r="6" spans="1:11" ht="18.75">
      <c r="A6" s="11">
        <v>219</v>
      </c>
      <c r="B6" s="12" t="s">
        <v>6</v>
      </c>
      <c r="C6" s="13" t="s">
        <v>10</v>
      </c>
      <c r="D6" s="14">
        <v>12</v>
      </c>
      <c r="E6" s="15">
        <f>162-20-3-100-1-2-3-1-3-24+61-6+120-40-10+95-60-3-10-25-30-6+60-100-9-10-13-14-2+120+60-10+60-25-30-6-99-50+60-5-10+60+120-4+60+40-35-100</f>
        <v>209</v>
      </c>
      <c r="F6" s="15">
        <f t="shared" si="0"/>
        <v>2508</v>
      </c>
      <c r="G6" s="34">
        <v>2</v>
      </c>
    </row>
    <row r="7" spans="1:11" ht="18.75">
      <c r="A7" s="11">
        <v>213</v>
      </c>
      <c r="B7" s="12" t="s">
        <v>6</v>
      </c>
      <c r="C7" s="13" t="s">
        <v>11</v>
      </c>
      <c r="D7" s="14">
        <v>18</v>
      </c>
      <c r="E7" s="15">
        <f>259+38-90-20-2-5-95-5+60+60-85+60+25-20</f>
        <v>180</v>
      </c>
      <c r="F7" s="15">
        <f t="shared" si="0"/>
        <v>3240</v>
      </c>
      <c r="G7" s="34">
        <v>3</v>
      </c>
    </row>
    <row r="8" spans="1:11" ht="18.75">
      <c r="A8" s="11">
        <v>252</v>
      </c>
      <c r="B8" s="12" t="s">
        <v>6</v>
      </c>
      <c r="C8" s="13" t="s">
        <v>12</v>
      </c>
      <c r="D8" s="14">
        <v>14</v>
      </c>
      <c r="E8" s="15">
        <f>58-20-5+72+101-10-25-15-15-4-5-70-17+108+36+48-5-4-20-40-30-5-10</f>
        <v>123</v>
      </c>
      <c r="F8" s="15">
        <f t="shared" si="0"/>
        <v>1722</v>
      </c>
      <c r="G8" s="34">
        <v>5</v>
      </c>
    </row>
    <row r="9" spans="1:11" ht="18.75">
      <c r="A9" s="11"/>
      <c r="B9" s="12"/>
      <c r="C9" s="13" t="s">
        <v>213</v>
      </c>
      <c r="D9" s="14"/>
      <c r="E9" s="15">
        <f>40-10</f>
        <v>30</v>
      </c>
      <c r="F9" s="15"/>
      <c r="G9" s="34"/>
      <c r="K9">
        <f>48*4</f>
        <v>192</v>
      </c>
    </row>
    <row r="10" spans="1:11" ht="18.75">
      <c r="A10" s="11">
        <v>215</v>
      </c>
      <c r="B10" s="12" t="s">
        <v>6</v>
      </c>
      <c r="C10" s="13" t="s">
        <v>13</v>
      </c>
      <c r="D10" s="14">
        <v>12</v>
      </c>
      <c r="E10" s="15">
        <f>150+120+95+60+60-100-70+120+60+120-50-1-80-100-70</f>
        <v>314</v>
      </c>
      <c r="F10" s="15">
        <f t="shared" si="0"/>
        <v>3768</v>
      </c>
      <c r="G10" s="34"/>
    </row>
    <row r="11" spans="1:11" ht="18.75">
      <c r="A11" s="11">
        <v>250</v>
      </c>
      <c r="B11" s="12" t="s">
        <v>6</v>
      </c>
      <c r="C11" s="13" t="s">
        <v>210</v>
      </c>
      <c r="D11" s="14">
        <v>12</v>
      </c>
      <c r="E11" s="15">
        <f>185+36-10-50-10-4-15-10-60-10-3+180+29-5-6-5-10-140-10-5-10+60-10+60-15-13+120-55-20-10-10+60+60-10</f>
        <v>284</v>
      </c>
      <c r="F11" s="15">
        <f t="shared" si="0"/>
        <v>3408</v>
      </c>
      <c r="G11" s="34">
        <v>10</v>
      </c>
    </row>
    <row r="12" spans="1:11" ht="18.75">
      <c r="A12" s="11">
        <v>215</v>
      </c>
      <c r="B12" s="12" t="s">
        <v>6</v>
      </c>
      <c r="C12" s="13" t="s">
        <v>14</v>
      </c>
      <c r="D12" s="14">
        <v>12</v>
      </c>
      <c r="E12" s="15">
        <f>0+96+96+48-110+144+96+61-60-10-40-6+96+48-48-18+96+48+48+96+96-10+96+48+48-8</f>
        <v>951</v>
      </c>
      <c r="F12" s="15">
        <f>+D12*E12</f>
        <v>11412</v>
      </c>
      <c r="G12" s="34">
        <v>6</v>
      </c>
    </row>
    <row r="13" spans="1:11" ht="18.75">
      <c r="A13" s="11">
        <v>216</v>
      </c>
      <c r="B13" s="12" t="s">
        <v>6</v>
      </c>
      <c r="C13" s="13" t="s">
        <v>15</v>
      </c>
      <c r="D13" s="14">
        <v>24</v>
      </c>
      <c r="E13" s="15">
        <f>0+48</f>
        <v>48</v>
      </c>
      <c r="F13" s="15">
        <f t="shared" si="0"/>
        <v>1152</v>
      </c>
      <c r="G13" s="34">
        <v>6</v>
      </c>
      <c r="I13">
        <f>288000+288000+145000</f>
        <v>721000</v>
      </c>
    </row>
    <row r="14" spans="1:11" ht="18.75">
      <c r="A14" s="11"/>
      <c r="B14" s="12" t="s">
        <v>6</v>
      </c>
      <c r="C14" s="13" t="s">
        <v>211</v>
      </c>
      <c r="D14" s="14">
        <v>24</v>
      </c>
      <c r="E14" s="15">
        <f>76-5-6</f>
        <v>65</v>
      </c>
      <c r="F14" s="15">
        <f t="shared" si="0"/>
        <v>1560</v>
      </c>
      <c r="G14" s="34">
        <v>6</v>
      </c>
    </row>
    <row r="15" spans="1:11" ht="18.75">
      <c r="A15" s="11"/>
      <c r="B15" s="12"/>
      <c r="C15" s="13" t="s">
        <v>212</v>
      </c>
      <c r="D15" s="14"/>
      <c r="E15" s="15">
        <f>105-80-6-10-9</f>
        <v>0</v>
      </c>
      <c r="F15" s="15"/>
      <c r="G15" s="34"/>
    </row>
    <row r="16" spans="1:11" s="41" customFormat="1" ht="18.75">
      <c r="A16" s="35">
        <v>217</v>
      </c>
      <c r="B16" s="36" t="s">
        <v>6</v>
      </c>
      <c r="C16" s="37" t="s">
        <v>16</v>
      </c>
      <c r="D16" s="38">
        <v>12</v>
      </c>
      <c r="E16" s="15">
        <f>40-2-5-5-1-5-4-5-2+60-4+43-5-5-10-1-10-7-5-18-1-2</f>
        <v>46</v>
      </c>
      <c r="F16" s="39">
        <f t="shared" si="0"/>
        <v>552</v>
      </c>
      <c r="G16" s="40">
        <v>7</v>
      </c>
    </row>
    <row r="17" spans="1:12" ht="18.75">
      <c r="A17" s="16">
        <v>218</v>
      </c>
      <c r="B17" s="12" t="s">
        <v>6</v>
      </c>
      <c r="C17" s="17" t="s">
        <v>17</v>
      </c>
      <c r="D17" s="18">
        <v>12</v>
      </c>
      <c r="E17" s="15">
        <f>32-30-53+60+120+120+60-10-5-22-5-10-10-3-6-9-20-70-5-5+60+120+54-100-50-50-2-6-12-40-8</f>
        <v>95</v>
      </c>
      <c r="F17" s="39">
        <f t="shared" si="0"/>
        <v>1140</v>
      </c>
      <c r="G17" s="34"/>
      <c r="L17">
        <f>48*18+48</f>
        <v>912</v>
      </c>
    </row>
    <row r="18" spans="1:12" ht="18.75">
      <c r="A18" s="11">
        <v>230</v>
      </c>
      <c r="B18" s="12" t="s">
        <v>6</v>
      </c>
      <c r="C18" s="13" t="s">
        <v>18</v>
      </c>
      <c r="D18" s="19">
        <v>12</v>
      </c>
      <c r="E18" s="15">
        <f>135-5-2-5-5-1-10-5-3-2-1-12-1-10-4-10-2+60+60-5-2-10-3-5-5-5-5-5-4-10-10-2-10-5-10-6-5-2-2</f>
        <v>66</v>
      </c>
      <c r="F18" s="15">
        <f t="shared" si="0"/>
        <v>792</v>
      </c>
      <c r="G18" s="34">
        <v>7</v>
      </c>
      <c r="I18" t="s">
        <v>190</v>
      </c>
    </row>
    <row r="19" spans="1:12" ht="18.75">
      <c r="A19" s="11">
        <v>405</v>
      </c>
      <c r="B19" s="12" t="s">
        <v>6</v>
      </c>
      <c r="C19" s="13" t="s">
        <v>19</v>
      </c>
      <c r="D19" s="19">
        <v>12</v>
      </c>
      <c r="E19" s="15">
        <f>18-5+120+103-5-2-1-50-40-2-2-5-3-10-10-1-10-5-25-35-3-5-15-5+60-10-30+60+60-6+90-15-6-50-2-6-105</f>
        <v>42</v>
      </c>
      <c r="F19" s="15">
        <f t="shared" si="0"/>
        <v>504</v>
      </c>
      <c r="G19" s="34">
        <v>7</v>
      </c>
    </row>
    <row r="20" spans="1:12" ht="18.75">
      <c r="A20" s="11">
        <v>221</v>
      </c>
      <c r="B20" s="12" t="s">
        <v>6</v>
      </c>
      <c r="C20" s="13" t="s">
        <v>20</v>
      </c>
      <c r="D20" s="19">
        <v>12</v>
      </c>
      <c r="E20" s="15">
        <f>102-16-16-20-40-8+46-11+36+108+108+14-13-10-40-40-30-8-10</f>
        <v>152</v>
      </c>
      <c r="F20" s="15">
        <f t="shared" si="0"/>
        <v>1824</v>
      </c>
      <c r="G20" s="34">
        <v>5</v>
      </c>
    </row>
    <row r="21" spans="1:12" ht="18.75">
      <c r="A21" s="11">
        <v>283</v>
      </c>
      <c r="B21" s="12" t="s">
        <v>6</v>
      </c>
      <c r="C21" s="13" t="s">
        <v>21</v>
      </c>
      <c r="D21" s="19">
        <v>12</v>
      </c>
      <c r="E21" s="15">
        <f>235-10-17-10+92-5-15-10-6-6-30-5-5-25-10-5+28-12-10-40-12-5-10-10-60-1-20+4+123-5+58-10-5-15-15-38-30-60+120-58-20-5-10</f>
        <v>50</v>
      </c>
      <c r="F21" s="15">
        <f t="shared" si="0"/>
        <v>600</v>
      </c>
      <c r="G21" s="34">
        <v>10</v>
      </c>
    </row>
    <row r="22" spans="1:12" ht="18.75">
      <c r="A22" s="11">
        <v>282</v>
      </c>
      <c r="B22" s="12" t="s">
        <v>6</v>
      </c>
      <c r="C22" s="13" t="s">
        <v>22</v>
      </c>
      <c r="D22" s="19">
        <v>12</v>
      </c>
      <c r="E22" s="15">
        <f>0+70-20-2-2-2-10-5-5-3-10-5-5-1</f>
        <v>0</v>
      </c>
      <c r="F22" s="15">
        <f t="shared" si="0"/>
        <v>0</v>
      </c>
      <c r="G22" s="34">
        <v>6</v>
      </c>
    </row>
    <row r="23" spans="1:12" ht="15.75">
      <c r="A23" s="6" t="s">
        <v>23</v>
      </c>
      <c r="B23" s="7"/>
      <c r="C23" s="8"/>
      <c r="D23" s="7"/>
      <c r="E23" s="20"/>
      <c r="F23" s="15"/>
    </row>
    <row r="24" spans="1:12" ht="18.75">
      <c r="A24" s="11">
        <v>310</v>
      </c>
      <c r="B24" s="12" t="s">
        <v>24</v>
      </c>
      <c r="C24" s="13" t="s">
        <v>25</v>
      </c>
      <c r="D24" s="14">
        <v>12</v>
      </c>
      <c r="E24" s="15">
        <v>0</v>
      </c>
      <c r="F24" s="15">
        <f t="shared" si="0"/>
        <v>0</v>
      </c>
      <c r="G24" s="34">
        <v>7</v>
      </c>
    </row>
    <row r="25" spans="1:12" ht="18.75">
      <c r="A25" s="11">
        <v>302</v>
      </c>
      <c r="B25" s="12" t="s">
        <v>24</v>
      </c>
      <c r="C25" s="13" t="s">
        <v>26</v>
      </c>
      <c r="D25" s="14">
        <v>21</v>
      </c>
      <c r="E25" s="15">
        <f>183-6-140-15-20+120+60-50-10+60+60-5+82-30-3-10-5-5-25-25-10-45-50-13</f>
        <v>98</v>
      </c>
      <c r="F25" s="15">
        <f t="shared" si="0"/>
        <v>2058</v>
      </c>
      <c r="G25" s="34">
        <v>2</v>
      </c>
    </row>
    <row r="26" spans="1:12" ht="18.75">
      <c r="A26" s="11">
        <v>307</v>
      </c>
      <c r="B26" s="12" t="s">
        <v>24</v>
      </c>
      <c r="C26" s="13" t="s">
        <v>27</v>
      </c>
      <c r="D26" s="14">
        <v>12</v>
      </c>
      <c r="E26" s="15">
        <f>6-6+60+60+120-25+60-5+60-30-1-3</f>
        <v>296</v>
      </c>
      <c r="F26" s="15">
        <f t="shared" si="0"/>
        <v>3552</v>
      </c>
      <c r="G26" s="34">
        <v>7</v>
      </c>
    </row>
    <row r="27" spans="1:12" ht="18.75">
      <c r="A27" s="11">
        <v>304</v>
      </c>
      <c r="B27" s="12" t="s">
        <v>24</v>
      </c>
      <c r="C27" s="13" t="s">
        <v>28</v>
      </c>
      <c r="D27" s="14">
        <v>24</v>
      </c>
      <c r="E27" s="15">
        <f>130-5-20-10-7-6-55+36-6+36+29-3-10-5-1-10-20-1-36-18-5-5</f>
        <v>8</v>
      </c>
      <c r="F27" s="15">
        <f t="shared" si="0"/>
        <v>192</v>
      </c>
      <c r="G27" s="34">
        <v>5</v>
      </c>
    </row>
    <row r="28" spans="1:12" ht="18.75">
      <c r="A28" s="11">
        <v>305</v>
      </c>
      <c r="B28" s="12" t="s">
        <v>24</v>
      </c>
      <c r="C28" s="13" t="s">
        <v>29</v>
      </c>
      <c r="D28" s="14">
        <v>12</v>
      </c>
      <c r="E28" s="15">
        <f>120+60-34-6+34-30-12-31-30-13-40+240-30-6-100-120-2+120+180-25+20-10-2-20-40-120-10-3-20-35-10-10-10</f>
        <v>5</v>
      </c>
      <c r="F28" s="15">
        <f t="shared" si="0"/>
        <v>60</v>
      </c>
      <c r="G28" s="34">
        <v>7</v>
      </c>
    </row>
    <row r="29" spans="1:12" ht="18.75">
      <c r="A29" s="11">
        <v>406</v>
      </c>
      <c r="B29" s="12" t="s">
        <v>24</v>
      </c>
      <c r="C29" s="13" t="s">
        <v>30</v>
      </c>
      <c r="D29" s="14">
        <v>24</v>
      </c>
      <c r="E29" s="15">
        <f>1+36+36-7-1</f>
        <v>65</v>
      </c>
      <c r="F29" s="15">
        <f t="shared" si="0"/>
        <v>1560</v>
      </c>
      <c r="G29" s="34">
        <v>5</v>
      </c>
    </row>
    <row r="30" spans="1:12" ht="15.75">
      <c r="A30" s="6" t="s">
        <v>31</v>
      </c>
      <c r="B30" s="7"/>
      <c r="C30" s="8"/>
      <c r="D30" s="7"/>
      <c r="E30" s="20"/>
      <c r="F30" s="15"/>
    </row>
    <row r="31" spans="1:12" ht="18.75">
      <c r="A31" s="11">
        <v>403</v>
      </c>
      <c r="B31" s="12" t="s">
        <v>32</v>
      </c>
      <c r="C31" s="13" t="s">
        <v>33</v>
      </c>
      <c r="D31" s="14">
        <v>12</v>
      </c>
      <c r="E31" s="15">
        <f>262-6+60-30+40-6-5-5-27-10-3-10-5-3-2-15-7-5-7-30-3-30-36+60+87-12-29-3-5-6-11-15-5-10-2-2-5</f>
        <v>159</v>
      </c>
      <c r="F31" s="15">
        <f t="shared" si="0"/>
        <v>1908</v>
      </c>
      <c r="G31" s="34">
        <v>7</v>
      </c>
    </row>
    <row r="32" spans="1:12" ht="18.75">
      <c r="A32" s="11">
        <v>401</v>
      </c>
      <c r="B32" s="12" t="s">
        <v>32</v>
      </c>
      <c r="C32" s="13" t="s">
        <v>34</v>
      </c>
      <c r="D32" s="14">
        <v>14</v>
      </c>
      <c r="E32" s="15">
        <f>141-3-13-3-4-25-2-28-20-5+100-13-40+200-15-3+26-11-42-10-12-48-5-5-10-26-25-5-10-20-30-12-20+100-4-3+74-10+100-8</f>
        <v>251</v>
      </c>
      <c r="F32" s="15">
        <f t="shared" si="0"/>
        <v>3514</v>
      </c>
      <c r="G32" s="34">
        <v>26</v>
      </c>
    </row>
    <row r="33" spans="1:7" ht="18.75">
      <c r="A33" s="11">
        <v>404</v>
      </c>
      <c r="B33" s="12" t="s">
        <v>32</v>
      </c>
      <c r="C33" s="13" t="s">
        <v>35</v>
      </c>
      <c r="D33" s="14">
        <v>18</v>
      </c>
      <c r="E33" s="15">
        <f>262-3-8-10-1-3-1-25-4-11-1-4-1-10-20-2-6-3-15-2+60-3-15-16-10-10-2-4-13+60+60-10-3-10-5-13-5-10-12-9-2-5-1-2-1-20-6-5-3-5-5-10-2-10-3-3-5-20-5-2-3+60-12-1-4-4-5-10-3-4-2</f>
        <v>59</v>
      </c>
      <c r="F33" s="15">
        <f t="shared" si="0"/>
        <v>1062</v>
      </c>
      <c r="G33" s="34">
        <v>7</v>
      </c>
    </row>
    <row r="34" spans="1:7" ht="18.75">
      <c r="A34" s="16">
        <v>402</v>
      </c>
      <c r="B34" s="21" t="s">
        <v>32</v>
      </c>
      <c r="C34" s="17" t="s">
        <v>36</v>
      </c>
      <c r="D34" s="22">
        <v>32</v>
      </c>
      <c r="E34" s="15">
        <f>308-6-5-6-100-15-11-2-20-2-15-2-2-12-5-10-12-16+93-17-10-10-2-5-24-3-2-10-1-4-15-15+100-21+58-14-15-1-3-10-3-5</f>
        <v>128</v>
      </c>
      <c r="F34" s="15">
        <f t="shared" si="0"/>
        <v>4096</v>
      </c>
      <c r="G34" s="34">
        <v>26</v>
      </c>
    </row>
    <row r="35" spans="1:7" ht="18.75">
      <c r="A35" s="11">
        <v>408</v>
      </c>
      <c r="B35" s="12" t="s">
        <v>32</v>
      </c>
      <c r="C35" s="13" t="s">
        <v>37</v>
      </c>
      <c r="D35" s="14">
        <v>12</v>
      </c>
      <c r="E35" s="15">
        <f>11-4+60+30+49-2-11-1-6-10-5-6-6-2-20-6-6-4-5-4-14-1</f>
        <v>37</v>
      </c>
      <c r="F35" s="15">
        <f t="shared" si="0"/>
        <v>444</v>
      </c>
      <c r="G35" s="34">
        <v>1</v>
      </c>
    </row>
    <row r="36" spans="1:7" ht="18.75">
      <c r="A36" s="11">
        <v>412</v>
      </c>
      <c r="B36" s="12" t="s">
        <v>32</v>
      </c>
      <c r="C36" s="13" t="s">
        <v>38</v>
      </c>
      <c r="D36" s="14">
        <v>20</v>
      </c>
      <c r="E36" s="15">
        <f>90-30-5-20-10-18+71-10-3-2+60-3-10-3-1-3-10-15-50-3+60+13-36+23-1-3-4-27-5</f>
        <v>45</v>
      </c>
      <c r="F36" s="15">
        <f t="shared" si="0"/>
        <v>900</v>
      </c>
      <c r="G36" s="34">
        <v>7</v>
      </c>
    </row>
    <row r="37" spans="1:7" ht="18.75">
      <c r="A37" s="11">
        <v>413</v>
      </c>
      <c r="B37" s="12" t="s">
        <v>32</v>
      </c>
      <c r="C37" s="13" t="s">
        <v>39</v>
      </c>
      <c r="D37" s="14">
        <v>12</v>
      </c>
      <c r="E37" s="15">
        <f>81+36-40-9-60+144+108+49-10-14-5-25-10-10-10-10+72+36-1-18+36-30-10-52-50-20-4-15+36+36-54+108+36-50-66-2-3-15-42-5-11</f>
        <v>127</v>
      </c>
      <c r="F37" s="15">
        <f t="shared" si="0"/>
        <v>1524</v>
      </c>
      <c r="G37" s="34">
        <v>5</v>
      </c>
    </row>
    <row r="38" spans="1:7" ht="18.75">
      <c r="A38" s="11">
        <v>414</v>
      </c>
      <c r="B38" s="12" t="s">
        <v>32</v>
      </c>
      <c r="C38" s="13" t="s">
        <v>40</v>
      </c>
      <c r="D38" s="14">
        <v>48</v>
      </c>
      <c r="E38" s="15">
        <f>350-14-10-1-6-7-1-1-20-5-6-20-3-1-5-4-2-1-10-30+100+70-20-5-3-5-10-20-2-1-15-1-1-10-14-1-10-5-6-6-1-1-4-5-2-50-5-2-2-12-5-6-1-6-4-10-2-1-14-1-6-10-6-1-2-9-6-2-2-5</f>
        <v>55</v>
      </c>
      <c r="F38" s="15">
        <f t="shared" si="0"/>
        <v>2640</v>
      </c>
      <c r="G38" s="34">
        <v>26</v>
      </c>
    </row>
    <row r="39" spans="1:7" ht="18.75">
      <c r="A39" s="11">
        <v>423</v>
      </c>
      <c r="B39" s="12" t="s">
        <v>32</v>
      </c>
      <c r="C39" s="13" t="s">
        <v>41</v>
      </c>
      <c r="D39" s="14">
        <v>24</v>
      </c>
      <c r="E39" s="15">
        <f>144-10-20-3-11-2-3-10-1-40-5-10-6-1-18-2+130-3-2-6-5-10-1-3+130-2-15-12-5-8-10-6-2-10-3-6-8-3-1-3-50-5-15-2-4-5-1-5-3-6-5-10-2-2-10-5-4-4+150-1-2+130-2-30</f>
        <v>245</v>
      </c>
      <c r="F39" s="15">
        <f t="shared" si="0"/>
        <v>5880</v>
      </c>
      <c r="G39" s="34">
        <v>24</v>
      </c>
    </row>
    <row r="40" spans="1:7" s="41" customFormat="1" ht="18.75">
      <c r="A40" s="35"/>
      <c r="B40" s="36" t="s">
        <v>32</v>
      </c>
      <c r="C40" s="37" t="s">
        <v>42</v>
      </c>
      <c r="D40" s="38">
        <v>12</v>
      </c>
      <c r="E40" s="15">
        <f>0+60-20+100+60-1-2-5-10-21-12</f>
        <v>149</v>
      </c>
      <c r="F40" s="39">
        <f t="shared" si="0"/>
        <v>1788</v>
      </c>
      <c r="G40" s="40">
        <v>8</v>
      </c>
    </row>
    <row r="41" spans="1:7" ht="18.75">
      <c r="A41" s="11"/>
      <c r="B41" s="12" t="s">
        <v>32</v>
      </c>
      <c r="C41" s="13" t="s">
        <v>43</v>
      </c>
      <c r="D41" s="14">
        <v>6</v>
      </c>
      <c r="E41" s="15">
        <f>186-2-5-4-1-12+50-2-2-12-2-5-3-4-2-5-3-5-1-2-10-4-4-5-1-3-10-4-4-5-1-5-2-5-4-10-2</f>
        <v>85</v>
      </c>
      <c r="F41" s="15">
        <f t="shared" si="0"/>
        <v>510</v>
      </c>
      <c r="G41" s="34">
        <v>22</v>
      </c>
    </row>
    <row r="42" spans="1:7" ht="18.75">
      <c r="A42" s="11">
        <v>409</v>
      </c>
      <c r="B42" s="12" t="s">
        <v>32</v>
      </c>
      <c r="C42" s="13" t="s">
        <v>44</v>
      </c>
      <c r="D42" s="14">
        <v>6</v>
      </c>
      <c r="E42" s="15">
        <f>36+50+100-12+50+50-250-4-6-5-4</f>
        <v>5</v>
      </c>
      <c r="F42" s="15">
        <f t="shared" si="0"/>
        <v>30</v>
      </c>
      <c r="G42" s="34">
        <v>23</v>
      </c>
    </row>
    <row r="43" spans="1:7" ht="18.75">
      <c r="A43" s="11"/>
      <c r="B43" s="12" t="s">
        <v>32</v>
      </c>
      <c r="C43" s="13" t="s">
        <v>45</v>
      </c>
      <c r="D43" s="19">
        <v>6</v>
      </c>
      <c r="E43" s="15">
        <f>64-2-6-2-1-1-3-1-4+80-12-2-5-2-4-30-6+27-2-6-3-12-2-2-5</f>
        <v>58</v>
      </c>
      <c r="F43" s="15">
        <f t="shared" si="0"/>
        <v>348</v>
      </c>
      <c r="G43" s="34">
        <v>22</v>
      </c>
    </row>
    <row r="44" spans="1:7" ht="18.75">
      <c r="A44" s="11"/>
      <c r="B44" s="12" t="s">
        <v>32</v>
      </c>
      <c r="C44" s="13" t="s">
        <v>46</v>
      </c>
      <c r="D44" s="19">
        <v>6</v>
      </c>
      <c r="E44" s="15">
        <f>56-15+30-1-5-10-10-1-4-1-5-6+51-5-1-2+81-6-5-2-1-3-2-2-10-6-5-2-2-2-10-4-5-6-30-10+50+50-6-10-5-5-10-12-10-2-6-2-5-30</f>
        <v>36</v>
      </c>
      <c r="F44" s="15">
        <f t="shared" si="0"/>
        <v>216</v>
      </c>
      <c r="G44" s="34">
        <v>23</v>
      </c>
    </row>
    <row r="45" spans="1:7" ht="18.75">
      <c r="A45" s="11">
        <v>425</v>
      </c>
      <c r="B45" s="12" t="s">
        <v>32</v>
      </c>
      <c r="C45" s="13" t="s">
        <v>47</v>
      </c>
      <c r="D45" s="19">
        <v>12</v>
      </c>
      <c r="E45" s="15">
        <f>390-10-1-5-13-2-8-20-10-3-2-5-1</f>
        <v>310</v>
      </c>
      <c r="F45" s="15">
        <f t="shared" si="0"/>
        <v>3720</v>
      </c>
      <c r="G45" s="34" t="s">
        <v>136</v>
      </c>
    </row>
    <row r="46" spans="1:7" s="41" customFormat="1" ht="18.75">
      <c r="A46" s="35">
        <v>426</v>
      </c>
      <c r="B46" s="36" t="s">
        <v>32</v>
      </c>
      <c r="C46" s="37" t="s">
        <v>48</v>
      </c>
      <c r="D46" s="44">
        <v>24</v>
      </c>
      <c r="E46" s="15">
        <f>293-10-19-5-10-7-2-2-5-5-1-10-10-5-10-2-3-12-15-4-5-5-5-10-15-10-2-6-3-10+390-2-2-2-8-20-6-5-10-3-2-5-3</f>
        <v>407</v>
      </c>
      <c r="F46" s="39">
        <f t="shared" si="0"/>
        <v>9768</v>
      </c>
      <c r="G46" s="40" t="s">
        <v>136</v>
      </c>
    </row>
    <row r="47" spans="1:7" ht="18.75">
      <c r="A47" s="11"/>
      <c r="B47" s="12" t="s">
        <v>32</v>
      </c>
      <c r="C47" s="13" t="s">
        <v>49</v>
      </c>
      <c r="D47" s="19">
        <v>24</v>
      </c>
      <c r="E47" s="15">
        <f>310-6+130+65-2-6-150-20-2-1-2-5-3-15-4-2-2-2-10-10-3-9-2-6-2-5-4-20-15-2-1-3-20-10</f>
        <v>161</v>
      </c>
      <c r="F47" s="15">
        <f t="shared" si="0"/>
        <v>3864</v>
      </c>
      <c r="G47" s="34">
        <v>24</v>
      </c>
    </row>
    <row r="48" spans="1:7" ht="18.75">
      <c r="A48" s="11"/>
      <c r="B48" s="12" t="s">
        <v>32</v>
      </c>
      <c r="C48" s="13" t="s">
        <v>50</v>
      </c>
      <c r="D48" s="19">
        <v>12</v>
      </c>
      <c r="E48" s="15">
        <f>130</f>
        <v>130</v>
      </c>
      <c r="F48" s="15">
        <f t="shared" si="0"/>
        <v>1560</v>
      </c>
      <c r="G48" s="34">
        <v>24</v>
      </c>
    </row>
    <row r="49" spans="1:9">
      <c r="A49" s="6" t="s">
        <v>51</v>
      </c>
      <c r="B49" s="7"/>
      <c r="C49" s="8"/>
      <c r="D49" s="7"/>
      <c r="E49" s="15"/>
      <c r="F49" s="15"/>
    </row>
    <row r="50" spans="1:9" ht="18.75">
      <c r="A50" s="11">
        <v>603</v>
      </c>
      <c r="B50" s="12"/>
      <c r="C50" s="13" t="s">
        <v>52</v>
      </c>
      <c r="D50" s="19">
        <v>12</v>
      </c>
      <c r="E50" s="15">
        <f>154-25-5+100-30-2-10-20-4+100+50-60-1-10-31-10-15+34-10-6-20-20-4-5-60+100-3-20-25-6-20-23-50-10-20+100-12-10-5-2-10-12+100-80-2+100+48-20-70-20</f>
        <v>118</v>
      </c>
      <c r="F50" s="15">
        <f t="shared" si="0"/>
        <v>1416</v>
      </c>
      <c r="G50" s="34">
        <v>26</v>
      </c>
      <c r="I50">
        <f>15000/42</f>
        <v>357.14285714285717</v>
      </c>
    </row>
    <row r="51" spans="1:9" ht="18.75">
      <c r="A51" s="11">
        <v>604</v>
      </c>
      <c r="B51" s="12"/>
      <c r="C51" s="13" t="s">
        <v>53</v>
      </c>
      <c r="D51" s="19">
        <v>12</v>
      </c>
      <c r="E51" s="15">
        <f>130-20</f>
        <v>110</v>
      </c>
      <c r="F51" s="15">
        <f t="shared" si="0"/>
        <v>1320</v>
      </c>
      <c r="G51" s="34">
        <v>24</v>
      </c>
    </row>
    <row r="52" spans="1:9" ht="18.75">
      <c r="A52" s="11"/>
      <c r="B52" s="12"/>
      <c r="C52" s="13" t="s">
        <v>148</v>
      </c>
      <c r="D52" s="19">
        <v>12</v>
      </c>
      <c r="E52" s="15">
        <v>4</v>
      </c>
      <c r="F52" s="15">
        <f t="shared" si="0"/>
        <v>48</v>
      </c>
      <c r="G52" s="34">
        <v>26</v>
      </c>
    </row>
    <row r="53" spans="1:9" ht="18.75">
      <c r="A53" s="11"/>
      <c r="B53" s="12"/>
      <c r="C53" s="13" t="s">
        <v>149</v>
      </c>
      <c r="D53" s="19">
        <v>12</v>
      </c>
      <c r="E53" s="15">
        <v>0</v>
      </c>
      <c r="F53" s="15">
        <f t="shared" si="0"/>
        <v>0</v>
      </c>
      <c r="G53" s="34">
        <v>26</v>
      </c>
    </row>
    <row r="54" spans="1:9">
      <c r="A54" s="6" t="s">
        <v>54</v>
      </c>
      <c r="B54" s="7"/>
      <c r="C54" s="8"/>
      <c r="D54" s="7"/>
      <c r="E54" s="7"/>
      <c r="F54" s="15"/>
    </row>
    <row r="55" spans="1:9" ht="18.75">
      <c r="A55" s="11"/>
      <c r="B55" s="12"/>
      <c r="C55" s="13" t="s">
        <v>55</v>
      </c>
      <c r="D55" s="19">
        <v>60</v>
      </c>
      <c r="E55" s="15">
        <f>427-1-30-3-9-1-10-3-4-40-10-6-10-2-9-40-10-5-4-3-5-4-4-6-3</f>
        <v>205</v>
      </c>
      <c r="F55" s="15">
        <f t="shared" ref="F55:F83" si="1">+D55*E55</f>
        <v>12300</v>
      </c>
      <c r="G55" s="34" t="s">
        <v>136</v>
      </c>
      <c r="H55">
        <v>230</v>
      </c>
      <c r="I55">
        <f t="shared" ref="I55:I58" si="2">F55*H55</f>
        <v>2829000</v>
      </c>
    </row>
    <row r="56" spans="1:9" ht="18.75">
      <c r="A56" s="11">
        <v>600</v>
      </c>
      <c r="B56" s="12"/>
      <c r="C56" s="13" t="s">
        <v>56</v>
      </c>
      <c r="D56" s="19">
        <v>30</v>
      </c>
      <c r="E56" s="15">
        <f>43-2-6-2-2-2-2-1+50-2-2-3-1-2-3-1-2-2-1-1-20+100-2-2-3-1-1-2-6-1</f>
        <v>118</v>
      </c>
      <c r="F56" s="15">
        <f t="shared" si="1"/>
        <v>3540</v>
      </c>
      <c r="G56" s="34" t="s">
        <v>136</v>
      </c>
      <c r="I56">
        <f t="shared" si="2"/>
        <v>0</v>
      </c>
    </row>
    <row r="57" spans="1:9" ht="18.75">
      <c r="A57" s="11">
        <v>605</v>
      </c>
      <c r="B57" s="12"/>
      <c r="C57" s="13" t="s">
        <v>57</v>
      </c>
      <c r="D57" s="19">
        <v>12</v>
      </c>
      <c r="E57" s="15">
        <f>84-27-6-3-4-4-4-10-3+150-8-1-6-20-2-12-1-6-1+100-5-2-10-40-12-10-1-6-10-25-10-5-5</f>
        <v>75</v>
      </c>
      <c r="F57" s="15">
        <f t="shared" si="1"/>
        <v>900</v>
      </c>
      <c r="G57" s="34" t="s">
        <v>136</v>
      </c>
      <c r="I57">
        <f t="shared" si="2"/>
        <v>0</v>
      </c>
    </row>
    <row r="58" spans="1:9" ht="18.75">
      <c r="A58" s="11">
        <v>1</v>
      </c>
      <c r="B58" s="12"/>
      <c r="C58" s="13" t="s">
        <v>58</v>
      </c>
      <c r="D58" s="19">
        <v>12</v>
      </c>
      <c r="E58" s="15">
        <f>203-10-10</f>
        <v>183</v>
      </c>
      <c r="F58" s="15">
        <f t="shared" si="1"/>
        <v>2196</v>
      </c>
      <c r="G58" s="34" t="s">
        <v>136</v>
      </c>
      <c r="I58">
        <f t="shared" si="2"/>
        <v>0</v>
      </c>
    </row>
    <row r="59" spans="1:9" ht="18.75">
      <c r="A59" s="11">
        <v>708</v>
      </c>
      <c r="B59" s="12"/>
      <c r="C59" s="13" t="s">
        <v>59</v>
      </c>
      <c r="D59" s="19">
        <v>6</v>
      </c>
      <c r="E59" s="15">
        <f>456-5-2-1-3-2-3-2-4-5-1-12-2-4-10-40-2</f>
        <v>358</v>
      </c>
      <c r="F59" s="15">
        <f t="shared" si="1"/>
        <v>2148</v>
      </c>
      <c r="G59" s="34" t="s">
        <v>136</v>
      </c>
      <c r="H59">
        <v>2749</v>
      </c>
      <c r="I59">
        <f>F59*H59</f>
        <v>5904852</v>
      </c>
    </row>
    <row r="60" spans="1:9" ht="18.75">
      <c r="A60" s="11">
        <v>601</v>
      </c>
      <c r="B60" s="12"/>
      <c r="C60" s="13" t="s">
        <v>60</v>
      </c>
      <c r="D60" s="19">
        <v>12</v>
      </c>
      <c r="E60" s="15">
        <f>240-2-3-200+160-1-1-3-5-4-5-2-10-2</f>
        <v>162</v>
      </c>
      <c r="F60" s="15">
        <f t="shared" si="1"/>
        <v>1944</v>
      </c>
      <c r="G60" s="34" t="s">
        <v>136</v>
      </c>
      <c r="H60">
        <v>1420.1</v>
      </c>
      <c r="I60">
        <f t="shared" ref="I60:I61" si="3">F60*H60</f>
        <v>2760674.4</v>
      </c>
    </row>
    <row r="61" spans="1:9" ht="18.75">
      <c r="A61" s="11">
        <v>711</v>
      </c>
      <c r="B61" s="12"/>
      <c r="C61" s="13" t="s">
        <v>61</v>
      </c>
      <c r="D61" s="19">
        <v>12</v>
      </c>
      <c r="E61" s="15">
        <f>257-2-1-4-1-100-10-133-1-1-10</f>
        <v>-6</v>
      </c>
      <c r="F61" s="15">
        <f t="shared" si="1"/>
        <v>-72</v>
      </c>
      <c r="G61" s="34" t="s">
        <v>136</v>
      </c>
      <c r="H61">
        <v>1221.8</v>
      </c>
      <c r="I61">
        <f t="shared" si="3"/>
        <v>-87969.599999999991</v>
      </c>
    </row>
    <row r="62" spans="1:9" ht="18.75">
      <c r="A62" s="11">
        <v>607</v>
      </c>
      <c r="B62" s="12"/>
      <c r="C62" s="13" t="s">
        <v>62</v>
      </c>
      <c r="D62" s="19">
        <v>12</v>
      </c>
      <c r="E62" s="15">
        <f>94-10-2-10-2-1-4+90-2-4-2-2-1-10-1-10-1-1-3-10-1-10-3-2-1-3-1-2-2-2-3-1-10+35-10-1+30-2-2-2-6-10-1-5-5-6-6-1</f>
        <v>75</v>
      </c>
      <c r="F62" s="15">
        <f t="shared" si="1"/>
        <v>900</v>
      </c>
      <c r="G62" s="34" t="s">
        <v>136</v>
      </c>
      <c r="I62" s="48">
        <f>SUM(I55:I61)</f>
        <v>11406556.800000001</v>
      </c>
    </row>
    <row r="63" spans="1:9" ht="18.75">
      <c r="A63" s="11"/>
      <c r="B63" s="12"/>
      <c r="C63" s="13" t="s">
        <v>63</v>
      </c>
      <c r="D63" s="19">
        <v>30</v>
      </c>
      <c r="E63" s="15">
        <f>36-12+50-2-2-12-2-2-1+100-2-1-1-1-6-3-2-12-5-1-2-5-8-1-20-1-25-4+50-12-1-5-2-5-1-5</f>
        <v>72</v>
      </c>
      <c r="F63" s="15">
        <f t="shared" si="1"/>
        <v>2160</v>
      </c>
      <c r="G63" s="34" t="s">
        <v>136</v>
      </c>
    </row>
    <row r="64" spans="1:9" ht="18.75">
      <c r="A64" s="11"/>
      <c r="B64" s="12"/>
      <c r="C64" s="13" t="s">
        <v>64</v>
      </c>
      <c r="D64" s="19">
        <v>18</v>
      </c>
      <c r="E64" s="15">
        <f>49-2-20-3+150-12-1-4-1-1-1-4-1-10-2-13-10-3-2-1-20-1-1-20-2-7-2-5-2-7-1-10-20-1-2-2-2-3</f>
        <v>0</v>
      </c>
      <c r="F64" s="15">
        <f t="shared" si="1"/>
        <v>0</v>
      </c>
      <c r="G64" s="34" t="s">
        <v>136</v>
      </c>
    </row>
    <row r="65" spans="1:11">
      <c r="A65" s="6" t="s">
        <v>65</v>
      </c>
      <c r="B65" s="7"/>
      <c r="C65" s="8"/>
      <c r="D65" s="7"/>
      <c r="E65" s="7"/>
      <c r="F65" s="15">
        <f t="shared" si="1"/>
        <v>0</v>
      </c>
      <c r="K65">
        <f>8330-3356</f>
        <v>4974</v>
      </c>
    </row>
    <row r="66" spans="1:11" ht="18.75">
      <c r="A66" s="11"/>
      <c r="B66" s="12"/>
      <c r="C66" s="13" t="s">
        <v>67</v>
      </c>
      <c r="D66" s="19">
        <v>25</v>
      </c>
      <c r="E66" s="15">
        <f>360-180</f>
        <v>180</v>
      </c>
      <c r="F66" s="15">
        <f t="shared" si="1"/>
        <v>4500</v>
      </c>
      <c r="G66" s="34" t="s">
        <v>136</v>
      </c>
    </row>
    <row r="67" spans="1:11" ht="18.75">
      <c r="A67" s="11"/>
      <c r="B67" s="12"/>
      <c r="C67" s="13" t="s">
        <v>68</v>
      </c>
      <c r="D67" s="19">
        <v>25</v>
      </c>
      <c r="E67" s="15">
        <f>44-1-10-1-3</f>
        <v>29</v>
      </c>
      <c r="F67" s="15">
        <f t="shared" si="1"/>
        <v>725</v>
      </c>
      <c r="G67" s="34" t="s">
        <v>136</v>
      </c>
    </row>
    <row r="68" spans="1:11" ht="18.75">
      <c r="A68" s="11"/>
      <c r="B68" s="12" t="s">
        <v>66</v>
      </c>
      <c r="C68" s="13" t="s">
        <v>69</v>
      </c>
      <c r="D68" s="19">
        <v>12</v>
      </c>
      <c r="E68" s="15">
        <f>(92160/12)-1080-140-28-4-4-10-3-20</f>
        <v>6391</v>
      </c>
      <c r="F68" s="15">
        <f t="shared" si="1"/>
        <v>76692</v>
      </c>
      <c r="G68" s="34"/>
      <c r="H68">
        <v>7500</v>
      </c>
      <c r="I68">
        <f>H68-E68</f>
        <v>1109</v>
      </c>
    </row>
    <row r="69" spans="1:11" ht="18.75">
      <c r="A69" s="11" t="s">
        <v>191</v>
      </c>
      <c r="B69" s="12"/>
      <c r="C69" s="13" t="s">
        <v>70</v>
      </c>
      <c r="D69" s="19">
        <v>25</v>
      </c>
      <c r="E69" s="15">
        <f>35-2-4</f>
        <v>29</v>
      </c>
      <c r="F69" s="15">
        <f t="shared" si="1"/>
        <v>725</v>
      </c>
      <c r="G69" s="34"/>
    </row>
    <row r="70" spans="1:11" ht="18.75">
      <c r="A70" s="11"/>
      <c r="B70" s="12"/>
      <c r="C70" s="13" t="s">
        <v>186</v>
      </c>
      <c r="D70" s="19">
        <v>12</v>
      </c>
      <c r="E70" s="15">
        <f>320-20-1-10-2-10-2-10-1-3</f>
        <v>261</v>
      </c>
      <c r="F70" s="15">
        <f t="shared" si="1"/>
        <v>3132</v>
      </c>
      <c r="G70" s="34"/>
      <c r="H70">
        <v>300</v>
      </c>
      <c r="I70">
        <f t="shared" ref="I70:I72" si="4">H70-E70</f>
        <v>39</v>
      </c>
      <c r="K70">
        <f>H70*12</f>
        <v>3600</v>
      </c>
    </row>
    <row r="71" spans="1:11" ht="18.75">
      <c r="A71" s="11"/>
      <c r="B71" s="12"/>
      <c r="C71" s="13" t="s">
        <v>184</v>
      </c>
      <c r="D71" s="19">
        <v>12</v>
      </c>
      <c r="E71" s="15">
        <f>842-20-2-2-5-6-2-1-10-5-2-5-1-3-5-2-2-1-20-2-1-1-1-20-5-2-4-1-3-3-1-8-5-3-3-3-2-7-2-6-5-17-8-4-1-1-2-10-5-2-2-5-2-2-5-2-3</f>
        <v>589</v>
      </c>
      <c r="F71" s="15">
        <f t="shared" si="1"/>
        <v>7068</v>
      </c>
      <c r="G71" s="34"/>
      <c r="H71">
        <v>400</v>
      </c>
      <c r="I71">
        <f t="shared" si="4"/>
        <v>-189</v>
      </c>
      <c r="K71">
        <f t="shared" ref="K71:K72" si="5">H71*12</f>
        <v>4800</v>
      </c>
    </row>
    <row r="72" spans="1:11" ht="18.75">
      <c r="A72" s="11"/>
      <c r="B72" s="12"/>
      <c r="C72" s="13" t="s">
        <v>185</v>
      </c>
      <c r="D72" s="19">
        <v>12</v>
      </c>
      <c r="E72" s="15">
        <f>1028-3-1-5-2-2-2-5-5-1-20-1-5-5-2-10-10-1-2-1-20-3-2-1-1-6-1-4-3-1-3-2-30-1-1-2-5-7-2</f>
        <v>850</v>
      </c>
      <c r="F72" s="15">
        <f t="shared" si="1"/>
        <v>10200</v>
      </c>
      <c r="G72" s="34"/>
      <c r="H72">
        <v>500</v>
      </c>
      <c r="I72">
        <f t="shared" si="4"/>
        <v>-350</v>
      </c>
      <c r="K72">
        <f t="shared" si="5"/>
        <v>6000</v>
      </c>
    </row>
    <row r="73" spans="1:11" ht="18.75">
      <c r="A73" s="23" t="s">
        <v>71</v>
      </c>
      <c r="B73" s="24"/>
      <c r="C73" s="25"/>
      <c r="D73" s="26"/>
      <c r="E73" s="26" t="s">
        <v>207</v>
      </c>
      <c r="F73" s="15"/>
    </row>
    <row r="74" spans="1:11" ht="18.75">
      <c r="A74" s="11"/>
      <c r="B74" s="12"/>
      <c r="C74" s="13" t="s">
        <v>72</v>
      </c>
      <c r="D74" s="19">
        <v>120</v>
      </c>
      <c r="E74" s="15">
        <v>1</v>
      </c>
      <c r="F74" s="15">
        <f t="shared" si="1"/>
        <v>120</v>
      </c>
      <c r="G74" s="34"/>
    </row>
    <row r="75" spans="1:11" ht="18.75">
      <c r="A75" s="11"/>
      <c r="B75" s="12"/>
      <c r="C75" s="13" t="s">
        <v>73</v>
      </c>
      <c r="D75" s="19">
        <v>120</v>
      </c>
      <c r="E75" s="15">
        <f>100-4-46-10-24-10-6</f>
        <v>0</v>
      </c>
      <c r="F75" s="15">
        <f t="shared" si="1"/>
        <v>0</v>
      </c>
      <c r="G75" s="34"/>
    </row>
    <row r="76" spans="1:11">
      <c r="A76" s="6" t="s">
        <v>74</v>
      </c>
      <c r="B76" s="7"/>
      <c r="C76" s="8"/>
      <c r="D76" s="7"/>
      <c r="E76" s="7"/>
      <c r="F76" s="15">
        <f t="shared" si="1"/>
        <v>0</v>
      </c>
    </row>
    <row r="77" spans="1:11" ht="18.75">
      <c r="A77" s="11">
        <v>801</v>
      </c>
      <c r="B77" s="12" t="s">
        <v>66</v>
      </c>
      <c r="C77" s="13" t="s">
        <v>75</v>
      </c>
      <c r="D77" s="14">
        <v>16</v>
      </c>
      <c r="E77" s="15"/>
      <c r="F77" s="15">
        <f t="shared" si="1"/>
        <v>0</v>
      </c>
      <c r="G77" s="34"/>
    </row>
    <row r="78" spans="1:11" ht="18.75">
      <c r="A78" s="11">
        <v>802</v>
      </c>
      <c r="B78" s="12" t="s">
        <v>66</v>
      </c>
      <c r="C78" s="13" t="s">
        <v>76</v>
      </c>
      <c r="D78" s="14">
        <v>16</v>
      </c>
      <c r="E78" s="15"/>
      <c r="F78" s="15">
        <f t="shared" si="1"/>
        <v>0</v>
      </c>
      <c r="G78" s="34"/>
    </row>
    <row r="79" spans="1:11" ht="18.75">
      <c r="A79" s="11">
        <v>803</v>
      </c>
      <c r="B79" s="12"/>
      <c r="C79" s="13" t="s">
        <v>77</v>
      </c>
      <c r="D79" s="14">
        <v>16</v>
      </c>
      <c r="E79" s="15">
        <v>10</v>
      </c>
      <c r="F79" s="15">
        <f t="shared" si="1"/>
        <v>160</v>
      </c>
      <c r="G79" s="34"/>
    </row>
    <row r="80" spans="1:11" ht="18.75">
      <c r="A80" s="11">
        <v>804</v>
      </c>
      <c r="B80" s="12"/>
      <c r="C80" s="13" t="s">
        <v>78</v>
      </c>
      <c r="D80" s="14">
        <v>12</v>
      </c>
      <c r="E80" s="15"/>
      <c r="F80" s="15">
        <f t="shared" si="1"/>
        <v>0</v>
      </c>
      <c r="G80" s="34"/>
    </row>
    <row r="81" spans="1:7" ht="18.75">
      <c r="A81" s="11">
        <v>805</v>
      </c>
      <c r="B81" s="12"/>
      <c r="C81" s="13" t="s">
        <v>79</v>
      </c>
      <c r="D81" s="14">
        <v>12</v>
      </c>
      <c r="E81" s="15"/>
      <c r="F81" s="15">
        <f t="shared" si="1"/>
        <v>0</v>
      </c>
      <c r="G81" s="34"/>
    </row>
    <row r="82" spans="1:7" ht="18.75">
      <c r="A82" s="11">
        <v>806</v>
      </c>
      <c r="B82" s="12"/>
      <c r="C82" s="13" t="s">
        <v>80</v>
      </c>
      <c r="D82" s="14">
        <v>10</v>
      </c>
      <c r="E82" s="15">
        <f>1-1</f>
        <v>0</v>
      </c>
      <c r="F82" s="15">
        <f t="shared" si="1"/>
        <v>0</v>
      </c>
      <c r="G82" s="34"/>
    </row>
    <row r="83" spans="1:7" ht="18.75">
      <c r="A83" s="11">
        <v>807</v>
      </c>
      <c r="B83" s="12"/>
      <c r="C83" s="13" t="s">
        <v>81</v>
      </c>
      <c r="D83" s="14">
        <v>10</v>
      </c>
      <c r="E83" s="15">
        <f>6-1</f>
        <v>5</v>
      </c>
      <c r="F83" s="15">
        <f t="shared" si="1"/>
        <v>50</v>
      </c>
      <c r="G83" s="34"/>
    </row>
  </sheetData>
  <mergeCells count="1">
    <mergeCell ref="A1:E1"/>
  </mergeCells>
  <conditionalFormatting sqref="E24:E29 E31:E48 E50:E53 E55:E64 E66:E72 E4:E22">
    <cfRule type="expression" dxfId="2" priority="5">
      <formula>E4&lt;=$J$1</formula>
    </cfRule>
  </conditionalFormatting>
  <conditionalFormatting sqref="E74:E75 E77:E83">
    <cfRule type="expression" dxfId="1" priority="1">
      <formula>E74&lt;=$J$1</formula>
    </cfRule>
  </conditionalFormatting>
  <pageMargins left="0.7" right="0.7" top="0.75" bottom="0.75" header="0.3" footer="0.3"/>
  <pageSetup paperSize="9" orientation="portrait" horizontalDpi="203" verticalDpi="20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2"/>
  <dimension ref="A1:I43"/>
  <sheetViews>
    <sheetView topLeftCell="A25" workbookViewId="0">
      <selection activeCell="D40" sqref="D40"/>
    </sheetView>
  </sheetViews>
  <sheetFormatPr baseColWidth="10" defaultRowHeight="18"/>
  <cols>
    <col min="2" max="2" width="82" customWidth="1"/>
    <col min="4" max="4" width="12.85546875" style="86" bestFit="1" customWidth="1"/>
    <col min="5" max="5" width="14" bestFit="1" customWidth="1"/>
    <col min="8" max="8" width="13.5703125" customWidth="1"/>
  </cols>
  <sheetData>
    <row r="1" spans="1:9" ht="16.5" customHeight="1" thickBot="1">
      <c r="A1" s="104" t="s">
        <v>178</v>
      </c>
      <c r="B1" s="104"/>
      <c r="C1" s="60" t="s">
        <v>2</v>
      </c>
      <c r="D1" s="82" t="s">
        <v>3</v>
      </c>
      <c r="E1" s="61" t="s">
        <v>4</v>
      </c>
      <c r="G1" t="s">
        <v>150</v>
      </c>
      <c r="I1">
        <v>50</v>
      </c>
    </row>
    <row r="2" spans="1:9">
      <c r="A2" s="62"/>
      <c r="B2" s="52"/>
      <c r="C2" s="52"/>
      <c r="D2" s="83"/>
      <c r="E2" s="53"/>
      <c r="F2" s="63"/>
    </row>
    <row r="3" spans="1:9">
      <c r="A3" s="64">
        <v>450120</v>
      </c>
      <c r="B3" s="45" t="s">
        <v>151</v>
      </c>
      <c r="C3" s="19">
        <v>120</v>
      </c>
      <c r="D3" s="84">
        <f>150-20-3-5-1-10-5-5-2-2-2-2-2-4-2-2-2-2-2-4-5-3-2-2-3-3-3-4-2</f>
        <v>46</v>
      </c>
      <c r="E3" s="15">
        <f t="shared" ref="E3" si="0">+C3*D3</f>
        <v>5520</v>
      </c>
      <c r="F3" s="65"/>
    </row>
    <row r="4" spans="1:9">
      <c r="A4" s="66">
        <v>456</v>
      </c>
      <c r="B4" s="49" t="s">
        <v>152</v>
      </c>
      <c r="C4" s="19">
        <v>60</v>
      </c>
      <c r="D4" s="84">
        <f>100-20-20-1-1-20-2-5-10+100-20-6-1-5-5-2-5-10-10-10-5-10-20-5-7</f>
        <v>0</v>
      </c>
      <c r="E4" s="15">
        <f t="shared" ref="E4:E29" si="1">+C4*D4</f>
        <v>0</v>
      </c>
      <c r="F4" s="67"/>
    </row>
    <row r="5" spans="1:9">
      <c r="A5" s="66">
        <v>453</v>
      </c>
      <c r="B5" s="49" t="s">
        <v>153</v>
      </c>
      <c r="C5" s="19">
        <v>60</v>
      </c>
      <c r="D5" s="84">
        <f>90-10+10-10-1-4-10-5+50-5-10-2-1-2-2-2-5-1-2-2-5-2-2-6-2-3-2-3-2-10-3-3-32-1</f>
        <v>0</v>
      </c>
      <c r="E5" s="15">
        <f t="shared" si="1"/>
        <v>0</v>
      </c>
      <c r="F5" s="67"/>
    </row>
    <row r="6" spans="1:9">
      <c r="A6" s="66" t="s">
        <v>169</v>
      </c>
      <c r="B6" s="49" t="s">
        <v>154</v>
      </c>
      <c r="C6" s="19">
        <v>60</v>
      </c>
      <c r="D6" s="84">
        <f>100-1-10-1-50-5-10-10-5+100-30-5-5+50-5-50-10-1-5-5-5-5</f>
        <v>32</v>
      </c>
      <c r="E6" s="15">
        <f t="shared" si="1"/>
        <v>1920</v>
      </c>
      <c r="F6" s="67"/>
    </row>
    <row r="7" spans="1:9">
      <c r="A7" s="66">
        <v>451</v>
      </c>
      <c r="B7" s="49" t="s">
        <v>155</v>
      </c>
      <c r="C7" s="19">
        <v>60</v>
      </c>
      <c r="D7" s="84">
        <f>0</f>
        <v>0</v>
      </c>
      <c r="E7" s="15">
        <f t="shared" si="1"/>
        <v>0</v>
      </c>
      <c r="F7" s="67"/>
    </row>
    <row r="8" spans="1:9">
      <c r="A8" s="66" t="s">
        <v>170</v>
      </c>
      <c r="B8" s="49" t="s">
        <v>156</v>
      </c>
      <c r="C8" s="19">
        <v>60</v>
      </c>
      <c r="D8" s="84">
        <f>150-30-20+20-5-1+76-10-10-15-10-10-5-5-5-7-4-1-5-11-6</f>
        <v>86</v>
      </c>
      <c r="E8" s="15">
        <f t="shared" si="1"/>
        <v>5160</v>
      </c>
      <c r="F8" s="67"/>
    </row>
    <row r="9" spans="1:9">
      <c r="A9" s="66" t="s">
        <v>171</v>
      </c>
      <c r="B9" s="49" t="s">
        <v>157</v>
      </c>
      <c r="C9" s="19">
        <v>60</v>
      </c>
      <c r="D9" s="84">
        <f>47-20-20+153-1-10-2-6</f>
        <v>141</v>
      </c>
      <c r="E9" s="15">
        <f t="shared" si="1"/>
        <v>8460</v>
      </c>
      <c r="F9" s="67"/>
    </row>
    <row r="10" spans="1:9" s="41" customFormat="1">
      <c r="A10" s="68">
        <v>467</v>
      </c>
      <c r="B10" s="50" t="s">
        <v>158</v>
      </c>
      <c r="C10" s="44">
        <v>36</v>
      </c>
      <c r="D10" s="84">
        <f>5-5+43-4</f>
        <v>39</v>
      </c>
      <c r="E10" s="39">
        <f t="shared" si="1"/>
        <v>1404</v>
      </c>
      <c r="F10" s="69"/>
    </row>
    <row r="11" spans="1:9" s="41" customFormat="1">
      <c r="A11" s="68" t="s">
        <v>193</v>
      </c>
      <c r="B11" s="50" t="s">
        <v>195</v>
      </c>
      <c r="C11" s="44">
        <v>60</v>
      </c>
      <c r="D11" s="84">
        <f>5-1+25</f>
        <v>29</v>
      </c>
      <c r="E11" s="15">
        <f t="shared" si="1"/>
        <v>1740</v>
      </c>
      <c r="F11" s="69"/>
    </row>
    <row r="12" spans="1:9">
      <c r="A12" s="66">
        <v>464</v>
      </c>
      <c r="B12" s="49" t="s">
        <v>159</v>
      </c>
      <c r="C12" s="19">
        <v>60</v>
      </c>
      <c r="D12" s="84">
        <f>20-10-3+4-6+26-10+30</f>
        <v>51</v>
      </c>
      <c r="E12" s="15">
        <f t="shared" si="1"/>
        <v>3060</v>
      </c>
      <c r="F12" s="67"/>
    </row>
    <row r="13" spans="1:9">
      <c r="A13" s="66"/>
      <c r="B13" s="49"/>
      <c r="C13" s="19"/>
      <c r="D13" s="84"/>
      <c r="E13" s="15">
        <f t="shared" si="1"/>
        <v>0</v>
      </c>
      <c r="F13" s="67"/>
    </row>
    <row r="14" spans="1:9">
      <c r="A14" s="66">
        <v>465</v>
      </c>
      <c r="B14" s="49" t="s">
        <v>160</v>
      </c>
      <c r="C14" s="19">
        <v>60</v>
      </c>
      <c r="D14" s="84">
        <f>20-10</f>
        <v>10</v>
      </c>
      <c r="E14" s="15">
        <f t="shared" si="1"/>
        <v>600</v>
      </c>
      <c r="F14" s="67"/>
      <c r="H14">
        <f>1085*12</f>
        <v>13020</v>
      </c>
    </row>
    <row r="15" spans="1:9">
      <c r="A15" s="66" t="s">
        <v>194</v>
      </c>
      <c r="B15" s="49" t="s">
        <v>196</v>
      </c>
      <c r="C15" s="19">
        <v>60</v>
      </c>
      <c r="D15" s="84">
        <f>5+15</f>
        <v>20</v>
      </c>
      <c r="E15" s="15">
        <f t="shared" si="1"/>
        <v>1200</v>
      </c>
      <c r="F15" s="67"/>
    </row>
    <row r="16" spans="1:9">
      <c r="A16" s="66" t="s">
        <v>182</v>
      </c>
      <c r="B16" s="49" t="s">
        <v>183</v>
      </c>
      <c r="C16" s="19">
        <v>60</v>
      </c>
      <c r="D16" s="84">
        <f>55-10</f>
        <v>45</v>
      </c>
      <c r="E16" s="15">
        <f t="shared" si="1"/>
        <v>2700</v>
      </c>
      <c r="F16" s="67"/>
    </row>
    <row r="17" spans="1:9">
      <c r="A17" s="66" t="s">
        <v>179</v>
      </c>
      <c r="B17" s="49" t="s">
        <v>180</v>
      </c>
      <c r="C17" s="19">
        <v>24</v>
      </c>
      <c r="D17" s="84">
        <f>100-3-1-3-2-4-1</f>
        <v>86</v>
      </c>
      <c r="E17" s="15">
        <f t="shared" si="1"/>
        <v>2064</v>
      </c>
      <c r="F17" s="67"/>
    </row>
    <row r="18" spans="1:9" s="41" customFormat="1">
      <c r="A18" s="68">
        <v>108</v>
      </c>
      <c r="B18" s="50" t="s">
        <v>161</v>
      </c>
      <c r="C18" s="44">
        <v>6</v>
      </c>
      <c r="D18" s="84">
        <f>50-2-5-1-5-2-5-8-1-6</f>
        <v>15</v>
      </c>
      <c r="E18" s="15">
        <f t="shared" si="1"/>
        <v>90</v>
      </c>
      <c r="F18" s="69"/>
    </row>
    <row r="19" spans="1:9">
      <c r="A19" s="66">
        <v>110</v>
      </c>
      <c r="B19" s="49" t="s">
        <v>162</v>
      </c>
      <c r="C19" s="19">
        <v>6</v>
      </c>
      <c r="D19" s="84">
        <f>50-1-5-1-5-10-5-4-1-1</f>
        <v>17</v>
      </c>
      <c r="E19" s="15">
        <f t="shared" si="1"/>
        <v>102</v>
      </c>
      <c r="F19" s="67"/>
    </row>
    <row r="20" spans="1:9">
      <c r="A20" s="66">
        <v>150</v>
      </c>
      <c r="B20" s="49" t="s">
        <v>163</v>
      </c>
      <c r="C20" s="19">
        <v>12</v>
      </c>
      <c r="D20" s="84">
        <f>100-2-10-5-10-1-5-5-5-4-6-5-5-4-5-5</f>
        <v>23</v>
      </c>
      <c r="E20" s="15">
        <f t="shared" si="1"/>
        <v>276</v>
      </c>
      <c r="F20" s="67"/>
    </row>
    <row r="21" spans="1:9">
      <c r="A21" s="66" t="s">
        <v>172</v>
      </c>
      <c r="B21" s="49" t="s">
        <v>177</v>
      </c>
      <c r="C21" s="19">
        <v>12</v>
      </c>
      <c r="D21" s="84">
        <f>50-10-1-1-2-2-1-5-4-3-3-2</f>
        <v>16</v>
      </c>
      <c r="E21" s="15">
        <f t="shared" si="1"/>
        <v>192</v>
      </c>
      <c r="F21" s="67"/>
    </row>
    <row r="22" spans="1:9">
      <c r="A22" s="64">
        <v>201</v>
      </c>
      <c r="B22" s="45" t="s">
        <v>164</v>
      </c>
      <c r="C22" s="46">
        <v>24</v>
      </c>
      <c r="D22" s="84">
        <f>50-1-2-30-5-12</f>
        <v>0</v>
      </c>
      <c r="E22" s="15">
        <f t="shared" si="1"/>
        <v>0</v>
      </c>
      <c r="F22" s="67"/>
    </row>
    <row r="23" spans="1:9">
      <c r="A23" s="66" t="s">
        <v>173</v>
      </c>
      <c r="B23" s="49" t="s">
        <v>165</v>
      </c>
      <c r="C23" s="19">
        <v>24</v>
      </c>
      <c r="D23" s="84">
        <f>100-5-50-1-1-10</f>
        <v>33</v>
      </c>
      <c r="E23" s="15">
        <f t="shared" si="1"/>
        <v>792</v>
      </c>
      <c r="F23" s="67"/>
    </row>
    <row r="24" spans="1:9">
      <c r="A24" s="66" t="s">
        <v>174</v>
      </c>
      <c r="B24" s="49" t="s">
        <v>166</v>
      </c>
      <c r="C24" s="19">
        <v>12</v>
      </c>
      <c r="D24" s="84">
        <f>5-5+10-1-9+50-2-10-5-2-5-5-5</f>
        <v>16</v>
      </c>
      <c r="E24" s="15">
        <f t="shared" si="1"/>
        <v>192</v>
      </c>
      <c r="F24" s="67"/>
      <c r="H24">
        <f>862+1805</f>
        <v>2667</v>
      </c>
      <c r="I24">
        <f>H24-D32</f>
        <v>1125</v>
      </c>
    </row>
    <row r="25" spans="1:9" ht="15.75" customHeight="1">
      <c r="A25" s="70" t="s">
        <v>175</v>
      </c>
      <c r="B25" s="51" t="s">
        <v>167</v>
      </c>
      <c r="C25" s="47">
        <v>6</v>
      </c>
      <c r="D25" s="84">
        <f>0</f>
        <v>0</v>
      </c>
      <c r="E25" s="15">
        <f t="shared" si="1"/>
        <v>0</v>
      </c>
      <c r="F25" s="67"/>
    </row>
    <row r="26" spans="1:9" ht="15.75" customHeight="1">
      <c r="A26" s="70" t="s">
        <v>176</v>
      </c>
      <c r="B26" s="51" t="s">
        <v>168</v>
      </c>
      <c r="C26" s="47">
        <v>6</v>
      </c>
      <c r="D26" s="84">
        <f>0</f>
        <v>0</v>
      </c>
      <c r="E26" s="15">
        <f t="shared" si="1"/>
        <v>0</v>
      </c>
      <c r="F26" s="67"/>
    </row>
    <row r="27" spans="1:9">
      <c r="A27" s="70">
        <v>9256</v>
      </c>
      <c r="B27" s="51" t="s">
        <v>181</v>
      </c>
      <c r="C27" s="47">
        <v>6</v>
      </c>
      <c r="D27" s="84">
        <f>2-2</f>
        <v>0</v>
      </c>
      <c r="E27" s="15">
        <f t="shared" si="1"/>
        <v>0</v>
      </c>
      <c r="F27" s="67"/>
    </row>
    <row r="28" spans="1:9" ht="18.75" thickBot="1">
      <c r="A28" s="71" t="s">
        <v>192</v>
      </c>
      <c r="B28" s="72" t="s">
        <v>189</v>
      </c>
      <c r="C28" s="73">
        <v>60</v>
      </c>
      <c r="D28" s="85">
        <f>60-5-5-5-10-5-10-10</f>
        <v>10</v>
      </c>
      <c r="E28" s="74">
        <f t="shared" si="1"/>
        <v>600</v>
      </c>
      <c r="F28" s="75"/>
    </row>
    <row r="29" spans="1:9" ht="18.75" thickBot="1">
      <c r="A29" s="57"/>
      <c r="B29" s="58"/>
      <c r="C29" s="57"/>
      <c r="D29" s="86">
        <f>SUM(D3:D28)</f>
        <v>715</v>
      </c>
      <c r="E29" s="59">
        <f t="shared" si="1"/>
        <v>0</v>
      </c>
      <c r="H29">
        <f>1985-D33</f>
        <v>545</v>
      </c>
    </row>
    <row r="30" spans="1:9" ht="18.75" thickBot="1">
      <c r="A30" s="76"/>
      <c r="B30" s="77"/>
      <c r="C30" s="77"/>
      <c r="D30" s="87"/>
      <c r="E30" s="77"/>
      <c r="F30" s="63"/>
    </row>
    <row r="31" spans="1:9">
      <c r="A31" s="54"/>
      <c r="B31" s="96" t="s">
        <v>190</v>
      </c>
      <c r="C31" s="78"/>
      <c r="D31" s="88"/>
      <c r="E31" s="78"/>
      <c r="F31" s="79"/>
    </row>
    <row r="32" spans="1:9">
      <c r="A32" s="55">
        <v>100</v>
      </c>
      <c r="B32" s="97" t="s">
        <v>197</v>
      </c>
      <c r="C32" s="34">
        <v>12</v>
      </c>
      <c r="D32" s="89">
        <f>862-1-20-20-10-30-3-5-5-40-20-20-18-7-6-4-20-3-30-6-150-5-30-4-1-17-4-17-10-10-3-5-1-10-1-10-5-20-4-10-13-15-60-20-13+1805-9-12-7-1-4-1-6-3-5-10-3-10-10-12-5-1-5-3-5-10-1-10-4-4-20-4-5-100-6-5-6-5-4-5-20-5-5-8-80</f>
        <v>1542</v>
      </c>
      <c r="E32" s="34">
        <f>D32*C32</f>
        <v>18504</v>
      </c>
      <c r="F32" s="67"/>
      <c r="G32">
        <f>862+1805</f>
        <v>2667</v>
      </c>
    </row>
    <row r="33" spans="1:8">
      <c r="A33" s="55">
        <v>101</v>
      </c>
      <c r="B33" s="98" t="s">
        <v>198</v>
      </c>
      <c r="C33" s="34">
        <v>12</v>
      </c>
      <c r="D33" s="89">
        <f>1985-2-10-2-10-17-15-1-10-4-10-1-6-3-3-5-20-10-29-5-12-5-5-1-15-3-84-10-10-10-5-1-20-4-4-10-4-2-5-15-40-6-5-6-10-2-5-20-20-5-5-8-25</f>
        <v>1440</v>
      </c>
      <c r="E33" s="34">
        <f t="shared" ref="E33:E43" si="2">D33*C33</f>
        <v>17280</v>
      </c>
      <c r="F33" s="67"/>
      <c r="G33">
        <f>1985</f>
        <v>1985</v>
      </c>
    </row>
    <row r="34" spans="1:8">
      <c r="A34" s="55">
        <v>102</v>
      </c>
      <c r="B34" s="98" t="s">
        <v>199</v>
      </c>
      <c r="C34" s="34">
        <v>12</v>
      </c>
      <c r="D34" s="89">
        <f>1884-3-5-45-12-5-5-1-10-2-96-10-10-10-1-4-4-10-15-4-5-5-10-100-6-5-6-10-2-5-20-5-5-8-50</f>
        <v>1390</v>
      </c>
      <c r="E34" s="34">
        <f t="shared" si="2"/>
        <v>16680</v>
      </c>
      <c r="F34" s="67"/>
      <c r="G34">
        <f>1884</f>
        <v>1884</v>
      </c>
    </row>
    <row r="35" spans="1:8">
      <c r="A35" s="55">
        <v>103</v>
      </c>
      <c r="B35" s="98" t="s">
        <v>200</v>
      </c>
      <c r="C35" s="34">
        <v>12</v>
      </c>
      <c r="D35" s="90">
        <f>400-1-25-20-2-3-40-28-7-4-5-2-3-1-2-6-3-10-5+250-2-20-5-1-5-1-30-6-2</f>
        <v>411</v>
      </c>
      <c r="E35" s="34">
        <f t="shared" si="2"/>
        <v>4932</v>
      </c>
      <c r="F35" s="67"/>
      <c r="H35">
        <f>55*24</f>
        <v>1320</v>
      </c>
    </row>
    <row r="36" spans="1:8">
      <c r="A36" s="55">
        <v>104</v>
      </c>
      <c r="B36" s="98" t="s">
        <v>201</v>
      </c>
      <c r="C36" s="34">
        <v>12</v>
      </c>
      <c r="D36" s="90">
        <f>92-9-10-1-3+11-2-15-3-1-13-3-1-5-5-1-15+250-5-15-25-3-1-1-2-30-10-5-2-5-3-1-1-25-4-30-10-10-10-3-5-5-1-1-4-5-2-2</f>
        <v>40</v>
      </c>
      <c r="E36" s="34">
        <f t="shared" si="2"/>
        <v>480</v>
      </c>
      <c r="F36" s="67"/>
      <c r="H36">
        <f>1320/60</f>
        <v>22</v>
      </c>
    </row>
    <row r="37" spans="1:8">
      <c r="A37" s="55">
        <v>105</v>
      </c>
      <c r="B37" s="98" t="s">
        <v>202</v>
      </c>
      <c r="C37" s="34">
        <v>12</v>
      </c>
      <c r="D37" s="90">
        <f>255-1-2-5-2-3-4-5-5-2-1-2-3-2-1-6-5-3-10-5-3-12-5-5-1-3-5-12-4-2-4-2-5-2-4-4-5</f>
        <v>110</v>
      </c>
      <c r="E37" s="34">
        <f t="shared" si="2"/>
        <v>1320</v>
      </c>
      <c r="F37" s="67"/>
    </row>
    <row r="38" spans="1:8">
      <c r="A38" s="92"/>
      <c r="B38" s="99" t="s">
        <v>203</v>
      </c>
      <c r="C38" s="93">
        <v>25</v>
      </c>
      <c r="D38" s="94">
        <f>200-3-2-3-1-2-8-1-3-1-2-1-10-1-1-1-4-2-6-5-4-2</f>
        <v>137</v>
      </c>
      <c r="E38" s="34">
        <f t="shared" si="2"/>
        <v>3425</v>
      </c>
      <c r="F38" s="95"/>
    </row>
    <row r="39" spans="1:8">
      <c r="A39" s="92"/>
      <c r="B39" s="99" t="s">
        <v>204</v>
      </c>
      <c r="C39" s="93">
        <v>24</v>
      </c>
      <c r="D39" s="94">
        <f>300-2-3-5-10-2-5-10-10-5-5-5-10-3-4-1-1-3-5-1-5-2-10-2-1-30</f>
        <v>160</v>
      </c>
      <c r="E39" s="34">
        <f t="shared" si="2"/>
        <v>3840</v>
      </c>
      <c r="F39" s="95"/>
    </row>
    <row r="40" spans="1:8">
      <c r="A40" s="92"/>
      <c r="B40" s="99" t="s">
        <v>205</v>
      </c>
      <c r="C40" s="93">
        <v>60</v>
      </c>
      <c r="D40" s="94">
        <f>320-53-48-20-20-26</f>
        <v>153</v>
      </c>
      <c r="E40" s="34">
        <f t="shared" si="2"/>
        <v>9180</v>
      </c>
      <c r="F40" s="95"/>
    </row>
    <row r="41" spans="1:8">
      <c r="A41" s="92"/>
      <c r="B41" s="99" t="s">
        <v>206</v>
      </c>
      <c r="C41" s="93">
        <v>100</v>
      </c>
      <c r="D41" s="94">
        <f>30-2-1-1-1</f>
        <v>25</v>
      </c>
      <c r="E41" s="34">
        <f t="shared" si="2"/>
        <v>2500</v>
      </c>
      <c r="F41" s="95"/>
    </row>
    <row r="42" spans="1:8">
      <c r="A42" s="92"/>
      <c r="B42" s="99" t="s">
        <v>208</v>
      </c>
      <c r="C42" s="93">
        <v>24</v>
      </c>
      <c r="D42" s="94">
        <f>130-3-3-5-3-20-24-10-10-15-10-10-1-5-2-6+50-6-2-10-5-4-5-5-3</f>
        <v>13</v>
      </c>
      <c r="E42" s="34">
        <f t="shared" si="2"/>
        <v>312</v>
      </c>
      <c r="F42" s="95"/>
      <c r="H42">
        <f>50*24/60</f>
        <v>20</v>
      </c>
    </row>
    <row r="43" spans="1:8" ht="18.75" thickBot="1">
      <c r="A43" s="56"/>
      <c r="B43" s="100" t="s">
        <v>209</v>
      </c>
      <c r="C43" s="80">
        <v>1</v>
      </c>
      <c r="D43" s="91">
        <v>45</v>
      </c>
      <c r="E43" s="80">
        <f t="shared" si="2"/>
        <v>45</v>
      </c>
      <c r="F43" s="81"/>
    </row>
  </sheetData>
  <mergeCells count="1">
    <mergeCell ref="A1:B1"/>
  </mergeCells>
  <conditionalFormatting sqref="D3:D28">
    <cfRule type="expression" dxfId="0" priority="5">
      <formula>D3&lt;=$I$1</formula>
    </cfRule>
  </conditionalFormatting>
  <pageMargins left="0.7" right="0.7" top="0.75" bottom="0.75" header="0.3" footer="0.3"/>
  <pageSetup paperSize="9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Hoja3"/>
  <dimension ref="A1:G30"/>
  <sheetViews>
    <sheetView workbookViewId="0">
      <selection activeCell="E6" sqref="E6"/>
    </sheetView>
  </sheetViews>
  <sheetFormatPr baseColWidth="10" defaultRowHeight="15"/>
  <cols>
    <col min="3" max="3" width="35.140625" customWidth="1"/>
  </cols>
  <sheetData>
    <row r="1" spans="1:7" ht="15.75">
      <c r="A1" s="6" t="s">
        <v>82</v>
      </c>
      <c r="B1" s="7"/>
      <c r="C1" s="8"/>
      <c r="D1" s="7"/>
      <c r="E1" s="27"/>
      <c r="F1" s="15"/>
      <c r="G1" s="34" t="s">
        <v>135</v>
      </c>
    </row>
    <row r="2" spans="1:7" ht="18.75">
      <c r="A2" s="11" t="s">
        <v>83</v>
      </c>
      <c r="B2" s="12" t="s">
        <v>66</v>
      </c>
      <c r="C2" s="13" t="s">
        <v>84</v>
      </c>
      <c r="D2" s="19">
        <v>95</v>
      </c>
      <c r="E2" s="20">
        <f>88-30</f>
        <v>58</v>
      </c>
      <c r="F2" s="15">
        <f t="shared" ref="F2:F21" si="0">+D2*E2</f>
        <v>5510</v>
      </c>
      <c r="G2" s="34">
        <v>4</v>
      </c>
    </row>
    <row r="3" spans="1:7" ht="18.75">
      <c r="A3" s="11">
        <v>1016</v>
      </c>
      <c r="B3" s="12"/>
      <c r="C3" s="13" t="s">
        <v>17</v>
      </c>
      <c r="D3" s="19">
        <v>110</v>
      </c>
      <c r="E3" s="20">
        <f>30+30</f>
        <v>60</v>
      </c>
      <c r="F3" s="15">
        <f t="shared" si="0"/>
        <v>6600</v>
      </c>
      <c r="G3" s="34">
        <v>4</v>
      </c>
    </row>
    <row r="4" spans="1:7" ht="18.75">
      <c r="A4" s="11"/>
      <c r="B4" s="12"/>
      <c r="C4" s="13" t="s">
        <v>85</v>
      </c>
      <c r="D4" s="19">
        <v>126</v>
      </c>
      <c r="E4" s="20">
        <f>30+30</f>
        <v>60</v>
      </c>
      <c r="F4" s="15">
        <f t="shared" si="0"/>
        <v>7560</v>
      </c>
      <c r="G4" s="34">
        <v>4</v>
      </c>
    </row>
    <row r="5" spans="1:7" ht="18.75">
      <c r="A5" s="11">
        <v>1017</v>
      </c>
      <c r="B5" s="12"/>
      <c r="C5" s="13" t="s">
        <v>86</v>
      </c>
      <c r="D5" s="19">
        <v>109</v>
      </c>
      <c r="E5" s="20">
        <f>240+30+30-90-30-30-30-30+60+30+30-30+30+30-30-30+30+30+30-30+30+30+60+30-30-30</f>
        <v>330</v>
      </c>
      <c r="F5" s="15">
        <f t="shared" si="0"/>
        <v>35970</v>
      </c>
      <c r="G5" s="34">
        <v>4</v>
      </c>
    </row>
    <row r="6" spans="1:7" ht="18.75">
      <c r="A6" s="11">
        <v>1001</v>
      </c>
      <c r="B6" s="12"/>
      <c r="C6" s="13" t="s">
        <v>37</v>
      </c>
      <c r="D6" s="19">
        <v>33</v>
      </c>
      <c r="E6" s="20">
        <f>120</f>
        <v>120</v>
      </c>
      <c r="F6" s="15">
        <f t="shared" si="0"/>
        <v>3960</v>
      </c>
      <c r="G6" s="34">
        <v>4</v>
      </c>
    </row>
    <row r="7" spans="1:7" ht="18.75">
      <c r="A7" s="11">
        <v>1002</v>
      </c>
      <c r="B7" s="12"/>
      <c r="C7" s="13" t="s">
        <v>87</v>
      </c>
      <c r="D7" s="19">
        <v>127</v>
      </c>
      <c r="E7" s="20"/>
      <c r="F7" s="15">
        <f t="shared" si="0"/>
        <v>0</v>
      </c>
      <c r="G7" s="34">
        <v>4</v>
      </c>
    </row>
    <row r="8" spans="1:7" ht="18.75">
      <c r="A8" s="11">
        <v>1006</v>
      </c>
      <c r="B8" s="12"/>
      <c r="C8" s="13" t="s">
        <v>88</v>
      </c>
      <c r="D8" s="19">
        <v>124</v>
      </c>
      <c r="E8" s="20">
        <f>300+30-30+30+30-30-30-30-30-30+30+30-30-30-30+30-30+30+30-30-60+60-30-120-30</f>
        <v>30</v>
      </c>
      <c r="F8" s="15">
        <f t="shared" si="0"/>
        <v>3720</v>
      </c>
      <c r="G8" s="34">
        <v>4</v>
      </c>
    </row>
    <row r="9" spans="1:7" ht="18.75">
      <c r="A9" s="11"/>
      <c r="B9" s="12"/>
      <c r="C9" s="13" t="s">
        <v>15</v>
      </c>
      <c r="D9" s="19">
        <v>145</v>
      </c>
      <c r="E9" s="20">
        <f>0+30-30+30</f>
        <v>30</v>
      </c>
      <c r="F9" s="15">
        <f t="shared" si="0"/>
        <v>4350</v>
      </c>
      <c r="G9" s="34">
        <v>4</v>
      </c>
    </row>
    <row r="10" spans="1:7" ht="18.75">
      <c r="A10" s="11"/>
      <c r="B10" s="12"/>
      <c r="C10" s="13" t="s">
        <v>89</v>
      </c>
      <c r="D10" s="19">
        <v>145</v>
      </c>
      <c r="E10" s="20">
        <f>0+30+30-30-30+60+30+30+30+30-90-30+30-30+60-30-60-30+30-30+30+60+30-90-60-30+30-30+30+60+30+30-30</f>
        <v>60</v>
      </c>
      <c r="F10" s="15">
        <f t="shared" si="0"/>
        <v>8700</v>
      </c>
      <c r="G10" s="34">
        <v>4</v>
      </c>
    </row>
    <row r="11" spans="1:7" ht="18.75">
      <c r="A11" s="11">
        <v>1022</v>
      </c>
      <c r="B11" s="12"/>
      <c r="C11" s="13" t="s">
        <v>90</v>
      </c>
      <c r="D11" s="19">
        <v>180</v>
      </c>
      <c r="E11" s="20">
        <f>210-30-30-30+30-30+30-30+30+30-30+30-30+30-30+30+30+30</f>
        <v>240</v>
      </c>
      <c r="F11" s="15">
        <f t="shared" si="0"/>
        <v>43200</v>
      </c>
      <c r="G11" s="34">
        <v>4</v>
      </c>
    </row>
    <row r="12" spans="1:7" ht="18.75">
      <c r="A12" s="11">
        <v>1012</v>
      </c>
      <c r="B12" s="12" t="s">
        <v>66</v>
      </c>
      <c r="C12" s="13" t="s">
        <v>91</v>
      </c>
      <c r="D12" s="19">
        <v>120</v>
      </c>
      <c r="E12" s="20">
        <f>60+30-30-30+30-30+30-30+30+30-30+30-30-30-30+30+30-30+30-30+30-30+30+30-30+30+30+30-30+30+30</f>
        <v>180</v>
      </c>
      <c r="F12" s="15">
        <f t="shared" si="0"/>
        <v>21600</v>
      </c>
      <c r="G12" s="34">
        <v>4</v>
      </c>
    </row>
    <row r="13" spans="1:7" ht="18.75">
      <c r="A13" s="11">
        <v>1000</v>
      </c>
      <c r="B13" s="12"/>
      <c r="C13" s="13" t="s">
        <v>28</v>
      </c>
      <c r="D13" s="19">
        <v>140</v>
      </c>
      <c r="E13" s="20">
        <f>60-30+30+30+30-30+30-30+30+30-30-30+30+30+30+30+30-30-30-30+30-30-30+30+30+30+30</f>
        <v>240</v>
      </c>
      <c r="F13" s="15">
        <f t="shared" si="0"/>
        <v>33600</v>
      </c>
      <c r="G13" s="34">
        <v>4</v>
      </c>
    </row>
    <row r="14" spans="1:7" ht="18.75">
      <c r="A14" s="11">
        <v>1008</v>
      </c>
      <c r="B14" s="12" t="s">
        <v>66</v>
      </c>
      <c r="C14" s="13" t="s">
        <v>29</v>
      </c>
      <c r="D14" s="19">
        <v>96</v>
      </c>
      <c r="E14" s="20">
        <f>90-30-30+30+30+30+30-30+30+30</f>
        <v>180</v>
      </c>
      <c r="F14" s="15">
        <f t="shared" si="0"/>
        <v>17280</v>
      </c>
      <c r="G14" s="34">
        <v>4</v>
      </c>
    </row>
    <row r="15" spans="1:7" ht="18.75">
      <c r="A15" s="11">
        <v>1019</v>
      </c>
      <c r="B15" s="12" t="s">
        <v>82</v>
      </c>
      <c r="C15" s="13" t="s">
        <v>92</v>
      </c>
      <c r="D15" s="19">
        <v>168</v>
      </c>
      <c r="E15" s="20">
        <f>200+25</f>
        <v>225</v>
      </c>
      <c r="F15" s="15">
        <f t="shared" si="0"/>
        <v>37800</v>
      </c>
      <c r="G15" s="34">
        <v>4</v>
      </c>
    </row>
    <row r="16" spans="1:7" ht="18.75">
      <c r="A16" s="11"/>
      <c r="B16" s="12"/>
      <c r="C16" s="13" t="s">
        <v>93</v>
      </c>
      <c r="D16" s="19">
        <v>300</v>
      </c>
      <c r="E16" s="20">
        <f>30+30-30+30+30+30</f>
        <v>120</v>
      </c>
      <c r="F16" s="15">
        <f t="shared" si="0"/>
        <v>36000</v>
      </c>
      <c r="G16" s="34">
        <v>4</v>
      </c>
    </row>
    <row r="17" spans="1:7" ht="18.75">
      <c r="A17" s="11"/>
      <c r="B17" s="12"/>
      <c r="C17" s="13" t="s">
        <v>94</v>
      </c>
      <c r="D17" s="19">
        <v>220</v>
      </c>
      <c r="E17" s="20">
        <f>0+30-30+30+30+30+30+30+30+30+30+30</f>
        <v>270</v>
      </c>
      <c r="F17" s="15">
        <f t="shared" si="0"/>
        <v>59400</v>
      </c>
      <c r="G17" s="34">
        <v>4</v>
      </c>
    </row>
    <row r="18" spans="1:7" ht="18.75">
      <c r="A18" s="11"/>
      <c r="B18" s="12"/>
      <c r="C18" s="13" t="s">
        <v>41</v>
      </c>
      <c r="D18" s="19">
        <v>595</v>
      </c>
      <c r="E18" s="20">
        <v>30</v>
      </c>
      <c r="F18" s="15">
        <f t="shared" si="0"/>
        <v>17850</v>
      </c>
      <c r="G18" s="34">
        <v>4</v>
      </c>
    </row>
    <row r="19" spans="1:7" ht="18.75">
      <c r="A19" s="11"/>
      <c r="B19" s="12"/>
      <c r="C19" s="13" t="s">
        <v>8</v>
      </c>
      <c r="D19" s="19">
        <v>145</v>
      </c>
      <c r="E19" s="20"/>
      <c r="F19" s="15">
        <f t="shared" si="0"/>
        <v>0</v>
      </c>
      <c r="G19" s="34">
        <v>4</v>
      </c>
    </row>
    <row r="20" spans="1:7" ht="18.75">
      <c r="A20" s="11">
        <v>424</v>
      </c>
      <c r="B20" s="12"/>
      <c r="C20" s="13" t="s">
        <v>49</v>
      </c>
      <c r="D20" s="19">
        <v>171</v>
      </c>
      <c r="E20" s="20">
        <f>150-30-30+30+30+30+30-30+30-30-30-30-30+30+30+30-30-30-30-30+30+30+30+30-30+30+30+30</f>
        <v>240</v>
      </c>
      <c r="F20" s="15">
        <f t="shared" si="0"/>
        <v>41040</v>
      </c>
      <c r="G20" s="34">
        <v>4</v>
      </c>
    </row>
    <row r="21" spans="1:7" ht="18.75">
      <c r="A21" s="11"/>
      <c r="B21" s="12"/>
      <c r="C21" s="13" t="s">
        <v>95</v>
      </c>
      <c r="D21" s="19">
        <v>160</v>
      </c>
      <c r="E21" s="20">
        <f>94-30</f>
        <v>64</v>
      </c>
      <c r="F21" s="15">
        <f t="shared" si="0"/>
        <v>10240</v>
      </c>
      <c r="G21" s="34">
        <v>4</v>
      </c>
    </row>
    <row r="22" spans="1:7" ht="18.75">
      <c r="A22" s="11"/>
      <c r="B22" s="12"/>
      <c r="C22" s="13" t="s">
        <v>96</v>
      </c>
      <c r="D22" s="19">
        <v>80</v>
      </c>
      <c r="E22" s="20"/>
      <c r="F22" s="15">
        <f>+D22*E22</f>
        <v>0</v>
      </c>
      <c r="G22" s="34">
        <v>4</v>
      </c>
    </row>
    <row r="23" spans="1:7" ht="18.75">
      <c r="A23" s="11"/>
      <c r="B23" s="12"/>
      <c r="C23" s="13" t="s">
        <v>97</v>
      </c>
      <c r="D23" s="19">
        <v>115</v>
      </c>
      <c r="E23" s="20">
        <f>150-30-30-30-30</f>
        <v>30</v>
      </c>
      <c r="F23" s="15">
        <f>+D23*E23</f>
        <v>3450</v>
      </c>
      <c r="G23" s="34">
        <v>4</v>
      </c>
    </row>
    <row r="24" spans="1:7" ht="18.75">
      <c r="A24" s="11"/>
      <c r="B24" s="12"/>
      <c r="C24" s="13" t="s">
        <v>98</v>
      </c>
      <c r="D24" s="19">
        <v>240</v>
      </c>
      <c r="E24" s="20">
        <f>90+30+30+30-30-60-30+30+30-30+30+30+30-30+30+30-30+30+30+30-30</f>
        <v>240</v>
      </c>
      <c r="F24" s="15">
        <f>+D24*E24</f>
        <v>57600</v>
      </c>
      <c r="G24" s="34">
        <v>4</v>
      </c>
    </row>
    <row r="25" spans="1:7" ht="18.75">
      <c r="A25" s="11"/>
      <c r="B25" s="12"/>
      <c r="C25" s="13" t="s">
        <v>99</v>
      </c>
      <c r="D25" s="19">
        <v>84</v>
      </c>
      <c r="E25" s="20">
        <f>66-30</f>
        <v>36</v>
      </c>
      <c r="F25" s="15">
        <f>+D25*E25</f>
        <v>3024</v>
      </c>
      <c r="G25" s="34">
        <v>4</v>
      </c>
    </row>
    <row r="26" spans="1:7" ht="18.75">
      <c r="A26" s="11"/>
      <c r="B26" s="12"/>
      <c r="C26" s="13" t="s">
        <v>100</v>
      </c>
      <c r="D26" s="19">
        <v>96</v>
      </c>
      <c r="E26" s="20">
        <f>90</f>
        <v>90</v>
      </c>
      <c r="F26" s="15">
        <f>+D26*E26</f>
        <v>8640</v>
      </c>
      <c r="G26" s="34">
        <v>4</v>
      </c>
    </row>
    <row r="27" spans="1:7" ht="19.5">
      <c r="A27" s="28"/>
      <c r="B27" s="29"/>
      <c r="C27" s="30" t="s">
        <v>101</v>
      </c>
      <c r="D27" s="31"/>
      <c r="E27" s="32">
        <f>SUM(E2:E26)</f>
        <v>2933</v>
      </c>
      <c r="F27" s="33">
        <f>SUM(F2:F26)</f>
        <v>467094</v>
      </c>
    </row>
    <row r="30" spans="1:7">
      <c r="E30">
        <f>30*126/95</f>
        <v>39.789473684210527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Hoja4"/>
  <dimension ref="A1:F14"/>
  <sheetViews>
    <sheetView workbookViewId="0">
      <selection activeCell="I21" sqref="I21"/>
    </sheetView>
  </sheetViews>
  <sheetFormatPr baseColWidth="10" defaultRowHeight="15"/>
  <cols>
    <col min="3" max="3" width="37.28515625" customWidth="1"/>
  </cols>
  <sheetData>
    <row r="1" spans="1:6">
      <c r="A1" t="s">
        <v>147</v>
      </c>
    </row>
    <row r="2" spans="1:6" ht="18.75">
      <c r="A2" s="11"/>
      <c r="B2" s="12"/>
      <c r="C2" s="13" t="s">
        <v>102</v>
      </c>
      <c r="D2" s="19">
        <v>1</v>
      </c>
      <c r="E2" s="20">
        <f>120700-(13*800)-1600+8829-900-800+8521</f>
        <v>124350</v>
      </c>
      <c r="F2" s="15">
        <f t="shared" ref="F2:F13" si="0">+D2*E2</f>
        <v>124350</v>
      </c>
    </row>
    <row r="3" spans="1:6" ht="18.75">
      <c r="A3" s="11"/>
      <c r="B3" s="12"/>
      <c r="C3" s="13" t="s">
        <v>103</v>
      </c>
      <c r="D3" s="19">
        <v>1</v>
      </c>
      <c r="E3" s="20" t="s">
        <v>188</v>
      </c>
      <c r="F3" s="15" t="e">
        <f t="shared" si="0"/>
        <v>#VALUE!</v>
      </c>
    </row>
    <row r="4" spans="1:6" ht="18.75">
      <c r="A4" s="11"/>
      <c r="B4" s="12"/>
      <c r="C4" s="13" t="s">
        <v>104</v>
      </c>
      <c r="D4" s="19">
        <v>1</v>
      </c>
      <c r="E4" s="20">
        <v>13750</v>
      </c>
      <c r="F4" s="15">
        <f t="shared" si="0"/>
        <v>13750</v>
      </c>
    </row>
    <row r="5" spans="1:6" ht="18.75">
      <c r="A5" s="11"/>
      <c r="B5" s="12"/>
      <c r="C5" s="13" t="s">
        <v>105</v>
      </c>
      <c r="D5" s="19">
        <v>1</v>
      </c>
      <c r="E5" s="20">
        <v>11400</v>
      </c>
      <c r="F5" s="15">
        <f t="shared" si="0"/>
        <v>11400</v>
      </c>
    </row>
    <row r="6" spans="1:6" ht="18.75">
      <c r="A6" s="11"/>
      <c r="B6" s="12"/>
      <c r="C6" s="13" t="s">
        <v>106</v>
      </c>
      <c r="D6" s="19"/>
      <c r="E6" s="20"/>
      <c r="F6" s="15">
        <f t="shared" si="0"/>
        <v>0</v>
      </c>
    </row>
    <row r="7" spans="1:6" ht="18.75">
      <c r="A7" s="11"/>
      <c r="B7" s="12"/>
      <c r="C7" s="13" t="s">
        <v>107</v>
      </c>
      <c r="D7" s="19">
        <v>1</v>
      </c>
      <c r="E7" s="20">
        <v>40000</v>
      </c>
      <c r="F7" s="15">
        <f t="shared" si="0"/>
        <v>40000</v>
      </c>
    </row>
    <row r="8" spans="1:6" ht="18.75">
      <c r="A8" s="11"/>
      <c r="B8" s="12"/>
      <c r="C8" s="13" t="s">
        <v>108</v>
      </c>
      <c r="D8" s="19">
        <v>1</v>
      </c>
      <c r="E8" s="20">
        <v>70000</v>
      </c>
      <c r="F8" s="15">
        <f t="shared" si="0"/>
        <v>70000</v>
      </c>
    </row>
    <row r="9" spans="1:6" ht="18.75">
      <c r="A9" s="11"/>
      <c r="B9" s="12"/>
      <c r="C9" s="13" t="s">
        <v>109</v>
      </c>
      <c r="D9" s="19"/>
      <c r="E9" s="20">
        <v>49000</v>
      </c>
      <c r="F9" s="15">
        <f t="shared" si="0"/>
        <v>0</v>
      </c>
    </row>
    <row r="10" spans="1:6" ht="18.75">
      <c r="A10" s="11"/>
      <c r="B10" s="12"/>
      <c r="C10" s="13" t="s">
        <v>110</v>
      </c>
      <c r="D10" s="19"/>
      <c r="E10" s="20"/>
      <c r="F10" s="15">
        <f t="shared" si="0"/>
        <v>0</v>
      </c>
    </row>
    <row r="11" spans="1:6" ht="18.75">
      <c r="A11" s="11"/>
      <c r="B11" s="12"/>
      <c r="C11" s="13" t="s">
        <v>111</v>
      </c>
      <c r="D11" s="19">
        <v>25</v>
      </c>
      <c r="E11" s="20">
        <v>10</v>
      </c>
      <c r="F11" s="15">
        <f t="shared" si="0"/>
        <v>250</v>
      </c>
    </row>
    <row r="12" spans="1:6" ht="18.75">
      <c r="A12" s="11"/>
      <c r="B12" s="12"/>
      <c r="C12" s="13" t="s">
        <v>112</v>
      </c>
      <c r="D12" s="19">
        <v>25</v>
      </c>
      <c r="E12" s="20">
        <v>10</v>
      </c>
      <c r="F12" s="15">
        <f t="shared" si="0"/>
        <v>250</v>
      </c>
    </row>
    <row r="13" spans="1:6" ht="18.75">
      <c r="A13" s="11"/>
      <c r="B13" s="12"/>
      <c r="C13" s="13" t="s">
        <v>113</v>
      </c>
      <c r="D13" s="19">
        <v>1</v>
      </c>
      <c r="E13" s="20">
        <v>2400</v>
      </c>
      <c r="F13" s="15">
        <f t="shared" si="0"/>
        <v>2400</v>
      </c>
    </row>
    <row r="14" spans="1:6" ht="19.5">
      <c r="A14" s="28"/>
      <c r="B14" s="29"/>
      <c r="C14" s="30" t="s">
        <v>114</v>
      </c>
      <c r="D14" s="31"/>
      <c r="E14" s="32"/>
      <c r="F14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Hoja5"/>
  <dimension ref="A1:H24"/>
  <sheetViews>
    <sheetView workbookViewId="0">
      <selection activeCell="E10" sqref="E10"/>
    </sheetView>
  </sheetViews>
  <sheetFormatPr baseColWidth="10" defaultRowHeight="15"/>
  <cols>
    <col min="3" max="3" width="58.28515625" customWidth="1"/>
  </cols>
  <sheetData>
    <row r="1" spans="1:8" ht="18.75">
      <c r="A1" s="11"/>
      <c r="B1" s="12"/>
      <c r="C1" s="13"/>
      <c r="D1" s="19"/>
      <c r="E1" s="20"/>
      <c r="F1" s="15"/>
    </row>
    <row r="2" spans="1:8" ht="18.75">
      <c r="A2" s="11"/>
      <c r="B2" s="12" t="s">
        <v>66</v>
      </c>
      <c r="C2" s="13" t="s">
        <v>115</v>
      </c>
      <c r="D2" s="19">
        <v>80</v>
      </c>
      <c r="E2" s="20">
        <f>244-16</f>
        <v>228</v>
      </c>
      <c r="F2" s="15">
        <f>+D2*E2</f>
        <v>18240</v>
      </c>
      <c r="H2">
        <f>12*18</f>
        <v>216</v>
      </c>
    </row>
    <row r="3" spans="1:8" ht="18.75">
      <c r="A3" s="11"/>
      <c r="B3" s="12"/>
      <c r="C3" s="13" t="s">
        <v>115</v>
      </c>
      <c r="D3" s="19">
        <v>120</v>
      </c>
      <c r="E3" s="20">
        <v>0</v>
      </c>
      <c r="F3" s="15">
        <f t="shared" ref="F3:F6" si="0">+D3*E3</f>
        <v>0</v>
      </c>
      <c r="H3" t="s">
        <v>190</v>
      </c>
    </row>
    <row r="4" spans="1:8" ht="18.75">
      <c r="A4" s="11"/>
      <c r="B4" s="12" t="s">
        <v>66</v>
      </c>
      <c r="C4" s="13" t="s">
        <v>116</v>
      </c>
      <c r="D4" s="19">
        <v>80</v>
      </c>
      <c r="E4" s="20">
        <v>5</v>
      </c>
      <c r="F4" s="15">
        <f t="shared" si="0"/>
        <v>400</v>
      </c>
    </row>
    <row r="5" spans="1:8" ht="18.75">
      <c r="A5" s="11"/>
      <c r="B5" s="12"/>
      <c r="C5" s="13" t="s">
        <v>117</v>
      </c>
      <c r="D5" s="19">
        <v>350</v>
      </c>
      <c r="E5" s="20">
        <v>0</v>
      </c>
      <c r="F5" s="15">
        <f t="shared" si="0"/>
        <v>0</v>
      </c>
    </row>
    <row r="6" spans="1:8" ht="18.75">
      <c r="A6" s="11"/>
      <c r="B6" s="12"/>
      <c r="C6" s="13" t="s">
        <v>118</v>
      </c>
      <c r="D6" s="19">
        <v>400</v>
      </c>
      <c r="E6" s="20">
        <v>16</v>
      </c>
      <c r="F6" s="15">
        <f t="shared" si="0"/>
        <v>6400</v>
      </c>
    </row>
    <row r="7" spans="1:8" ht="18.75">
      <c r="A7" s="11"/>
      <c r="B7" s="12"/>
      <c r="C7" s="13" t="s">
        <v>119</v>
      </c>
      <c r="D7" s="19">
        <v>1500</v>
      </c>
      <c r="E7" s="20">
        <f>5</f>
        <v>5</v>
      </c>
      <c r="F7" s="15">
        <f t="shared" ref="F7:F9" si="1">+D7*E7</f>
        <v>7500</v>
      </c>
    </row>
    <row r="8" spans="1:8" ht="18.75">
      <c r="A8" s="11"/>
      <c r="B8" s="12"/>
      <c r="C8" s="13" t="s">
        <v>120</v>
      </c>
      <c r="D8" s="19">
        <v>2000</v>
      </c>
      <c r="E8" s="20">
        <f>8</f>
        <v>8</v>
      </c>
      <c r="F8" s="15">
        <f t="shared" si="1"/>
        <v>16000</v>
      </c>
    </row>
    <row r="9" spans="1:8" ht="18.75">
      <c r="A9" s="11">
        <v>2000</v>
      </c>
      <c r="B9" s="12" t="s">
        <v>66</v>
      </c>
      <c r="C9" s="13" t="s">
        <v>121</v>
      </c>
      <c r="D9" s="19">
        <v>36</v>
      </c>
      <c r="E9" s="20">
        <f>72</f>
        <v>72</v>
      </c>
      <c r="F9" s="15">
        <f t="shared" si="1"/>
        <v>2592</v>
      </c>
    </row>
    <row r="10" spans="1:8" ht="19.5">
      <c r="A10" s="28"/>
      <c r="B10" s="29"/>
      <c r="C10" s="30" t="s">
        <v>122</v>
      </c>
      <c r="D10" s="31"/>
      <c r="E10" s="32">
        <v>44</v>
      </c>
      <c r="F10" s="33"/>
    </row>
    <row r="11" spans="1:8" ht="18.75">
      <c r="A11" s="11"/>
      <c r="B11" s="12"/>
      <c r="C11" s="13"/>
      <c r="D11" s="19"/>
      <c r="E11" s="20"/>
      <c r="F11" s="15"/>
    </row>
    <row r="12" spans="1:8" ht="18.75">
      <c r="A12" s="11"/>
      <c r="B12" s="12"/>
      <c r="C12" s="13" t="s">
        <v>123</v>
      </c>
      <c r="D12" s="19">
        <v>6000</v>
      </c>
      <c r="E12" s="20">
        <v>40</v>
      </c>
      <c r="F12" s="15">
        <f t="shared" ref="F12:F21" si="2">+D12*E12</f>
        <v>240000</v>
      </c>
    </row>
    <row r="13" spans="1:8" ht="18.75">
      <c r="A13" s="11"/>
      <c r="B13" s="12"/>
      <c r="C13" s="13" t="s">
        <v>124</v>
      </c>
      <c r="D13" s="19">
        <v>4000</v>
      </c>
      <c r="E13" s="20">
        <v>57</v>
      </c>
      <c r="F13" s="15">
        <f t="shared" si="2"/>
        <v>228000</v>
      </c>
    </row>
    <row r="14" spans="1:8" ht="18.75">
      <c r="A14" s="11"/>
      <c r="B14" s="12"/>
      <c r="C14" s="13" t="s">
        <v>125</v>
      </c>
      <c r="D14" s="19">
        <v>6000</v>
      </c>
      <c r="E14" s="20">
        <v>33</v>
      </c>
      <c r="F14" s="15">
        <f t="shared" si="2"/>
        <v>198000</v>
      </c>
    </row>
    <row r="15" spans="1:8" ht="18.75">
      <c r="A15" s="11"/>
      <c r="B15" s="12"/>
      <c r="C15" s="13" t="s">
        <v>126</v>
      </c>
      <c r="D15" s="19">
        <v>6000</v>
      </c>
      <c r="E15" s="20">
        <v>46</v>
      </c>
      <c r="F15" s="15">
        <f t="shared" si="2"/>
        <v>276000</v>
      </c>
    </row>
    <row r="16" spans="1:8" ht="18.75">
      <c r="A16" s="11"/>
      <c r="B16" s="12"/>
      <c r="C16" s="13" t="s">
        <v>127</v>
      </c>
      <c r="D16" s="19">
        <v>2300</v>
      </c>
      <c r="E16" s="20">
        <v>15</v>
      </c>
      <c r="F16" s="15">
        <f t="shared" si="2"/>
        <v>34500</v>
      </c>
    </row>
    <row r="17" spans="1:6" ht="18.75">
      <c r="A17" s="11"/>
      <c r="B17" s="12"/>
      <c r="C17" s="13" t="s">
        <v>128</v>
      </c>
      <c r="D17" s="19">
        <v>6000</v>
      </c>
      <c r="E17" s="20">
        <v>10</v>
      </c>
      <c r="F17" s="15">
        <f t="shared" si="2"/>
        <v>60000</v>
      </c>
    </row>
    <row r="18" spans="1:6" ht="18.75">
      <c r="A18" s="11"/>
      <c r="B18" s="12"/>
      <c r="C18" s="13" t="s">
        <v>129</v>
      </c>
      <c r="D18" s="19">
        <v>1</v>
      </c>
      <c r="E18" s="20">
        <v>64</v>
      </c>
      <c r="F18" s="15">
        <f t="shared" si="2"/>
        <v>64</v>
      </c>
    </row>
    <row r="19" spans="1:6" ht="18.75">
      <c r="A19" s="11"/>
      <c r="B19" s="12"/>
      <c r="C19" s="13" t="s">
        <v>187</v>
      </c>
      <c r="D19" s="19">
        <v>4000</v>
      </c>
      <c r="E19" s="20">
        <v>3</v>
      </c>
      <c r="F19" s="15">
        <f t="shared" si="2"/>
        <v>12000</v>
      </c>
    </row>
    <row r="20" spans="1:6" ht="18.75">
      <c r="A20" s="11"/>
      <c r="B20" s="12"/>
      <c r="C20" s="13" t="s">
        <v>130</v>
      </c>
      <c r="D20" s="19">
        <v>2000</v>
      </c>
      <c r="E20" s="20">
        <v>2</v>
      </c>
      <c r="F20" s="15">
        <f t="shared" si="2"/>
        <v>4000</v>
      </c>
    </row>
    <row r="21" spans="1:6" ht="18.75">
      <c r="A21" s="11"/>
      <c r="B21" s="12"/>
      <c r="C21" s="13" t="s">
        <v>131</v>
      </c>
      <c r="D21" s="19"/>
      <c r="E21" s="20"/>
      <c r="F21" s="15">
        <f t="shared" si="2"/>
        <v>0</v>
      </c>
    </row>
    <row r="22" spans="1:6" ht="18.75">
      <c r="A22" s="11"/>
      <c r="B22" s="12"/>
      <c r="C22" s="13" t="s">
        <v>132</v>
      </c>
      <c r="D22" s="19">
        <v>1</v>
      </c>
      <c r="E22" s="20"/>
      <c r="F22" s="15"/>
    </row>
    <row r="23" spans="1:6" ht="18.75">
      <c r="A23" s="11"/>
      <c r="B23" s="12"/>
      <c r="C23" s="13" t="s">
        <v>133</v>
      </c>
      <c r="D23" s="19"/>
      <c r="E23" s="20"/>
      <c r="F23" s="15"/>
    </row>
    <row r="24" spans="1:6" ht="19.5">
      <c r="A24" s="28"/>
      <c r="B24" s="29"/>
      <c r="C24" s="30" t="s">
        <v>134</v>
      </c>
      <c r="D24" s="31"/>
      <c r="E24" s="32"/>
      <c r="F24" s="33"/>
    </row>
  </sheetData>
  <pageMargins left="0.7" right="0.7" top="0.75" bottom="0.75" header="0.3" footer="0.3"/>
  <pageSetup paperSize="9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Hoja6"/>
  <dimension ref="A1:G10"/>
  <sheetViews>
    <sheetView workbookViewId="0">
      <selection activeCell="E9" sqref="E9"/>
    </sheetView>
  </sheetViews>
  <sheetFormatPr baseColWidth="10" defaultRowHeight="15"/>
  <cols>
    <col min="3" max="3" width="30" customWidth="1"/>
    <col min="7" max="7" width="13.140625" bestFit="1" customWidth="1"/>
  </cols>
  <sheetData>
    <row r="1" spans="1:7">
      <c r="A1" t="s">
        <v>146</v>
      </c>
    </row>
    <row r="2" spans="1:7" ht="18.75">
      <c r="A2" s="11"/>
      <c r="B2" s="12"/>
      <c r="C2" s="13" t="s">
        <v>137</v>
      </c>
      <c r="D2" s="19">
        <v>17</v>
      </c>
      <c r="E2" s="20"/>
      <c r="F2" s="15">
        <f t="shared" ref="F2:F9" si="0">+D2*E2</f>
        <v>0</v>
      </c>
      <c r="G2" s="42">
        <f t="shared" ref="G2:G7" si="1">+ROUND(1500*0.7,2)</f>
        <v>1050</v>
      </c>
    </row>
    <row r="3" spans="1:7" ht="18.75">
      <c r="A3" s="11">
        <v>1100</v>
      </c>
      <c r="B3" s="12" t="s">
        <v>66</v>
      </c>
      <c r="C3" s="13" t="s">
        <v>138</v>
      </c>
      <c r="D3" s="19">
        <v>17</v>
      </c>
      <c r="E3" s="20"/>
      <c r="F3" s="15">
        <f t="shared" si="0"/>
        <v>0</v>
      </c>
      <c r="G3" s="42">
        <f t="shared" si="1"/>
        <v>1050</v>
      </c>
    </row>
    <row r="4" spans="1:7" ht="18.75">
      <c r="A4" s="11">
        <v>1100</v>
      </c>
      <c r="B4" s="12" t="s">
        <v>66</v>
      </c>
      <c r="C4" s="13" t="s">
        <v>139</v>
      </c>
      <c r="D4" s="19">
        <v>17</v>
      </c>
      <c r="E4" s="20"/>
      <c r="F4" s="15">
        <f t="shared" si="0"/>
        <v>0</v>
      </c>
      <c r="G4" s="42">
        <f t="shared" si="1"/>
        <v>1050</v>
      </c>
    </row>
    <row r="5" spans="1:7" ht="18.75">
      <c r="A5" s="11">
        <v>1100</v>
      </c>
      <c r="B5" s="12" t="s">
        <v>66</v>
      </c>
      <c r="C5" s="13" t="s">
        <v>140</v>
      </c>
      <c r="D5" s="19">
        <v>17</v>
      </c>
      <c r="E5" s="20"/>
      <c r="F5" s="15">
        <f t="shared" si="0"/>
        <v>0</v>
      </c>
      <c r="G5" s="42">
        <f t="shared" si="1"/>
        <v>1050</v>
      </c>
    </row>
    <row r="6" spans="1:7" ht="18.75">
      <c r="A6" s="11">
        <v>1100</v>
      </c>
      <c r="B6" s="12" t="s">
        <v>66</v>
      </c>
      <c r="C6" s="13" t="s">
        <v>141</v>
      </c>
      <c r="D6" s="19">
        <v>17</v>
      </c>
      <c r="E6" s="20"/>
      <c r="F6" s="15">
        <f t="shared" si="0"/>
        <v>0</v>
      </c>
      <c r="G6" s="42">
        <f t="shared" si="1"/>
        <v>1050</v>
      </c>
    </row>
    <row r="7" spans="1:7" ht="18.75">
      <c r="A7" s="11"/>
      <c r="B7" s="12"/>
      <c r="C7" s="13" t="s">
        <v>142</v>
      </c>
      <c r="D7" s="19">
        <v>17</v>
      </c>
      <c r="E7" s="20"/>
      <c r="F7" s="15">
        <f t="shared" si="0"/>
        <v>0</v>
      </c>
      <c r="G7" s="42">
        <f t="shared" si="1"/>
        <v>1050</v>
      </c>
    </row>
    <row r="8" spans="1:7" ht="37.5">
      <c r="A8" s="11"/>
      <c r="B8" s="12"/>
      <c r="C8" s="13" t="s">
        <v>143</v>
      </c>
      <c r="D8" s="19">
        <v>16</v>
      </c>
      <c r="E8" s="20">
        <f>365-55-45-40-55</f>
        <v>170</v>
      </c>
      <c r="F8" s="15">
        <f t="shared" si="0"/>
        <v>2720</v>
      </c>
      <c r="G8" s="42">
        <f>3.32*365.5</f>
        <v>1213.46</v>
      </c>
    </row>
    <row r="9" spans="1:7" ht="18.75">
      <c r="A9" s="11"/>
      <c r="B9" s="12"/>
      <c r="C9" s="13" t="s">
        <v>144</v>
      </c>
      <c r="D9" s="19">
        <v>20</v>
      </c>
      <c r="E9" s="20">
        <f>150-4-3</f>
        <v>143</v>
      </c>
      <c r="F9" s="15">
        <f t="shared" si="0"/>
        <v>2860</v>
      </c>
      <c r="G9" s="42">
        <f>3.11*365.5</f>
        <v>1136.7049999999999</v>
      </c>
    </row>
    <row r="10" spans="1:7" ht="19.5">
      <c r="A10" s="28"/>
      <c r="B10" s="29"/>
      <c r="C10" s="30" t="s">
        <v>145</v>
      </c>
      <c r="D10" s="31"/>
      <c r="E10" s="32"/>
      <c r="F10" s="33"/>
      <c r="G10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ARTICULOS </vt:lpstr>
      <vt:lpstr>BETA-CHINO</vt:lpstr>
      <vt:lpstr>BASES</vt:lpstr>
      <vt:lpstr>MATERIA PRIMA</vt:lpstr>
      <vt:lpstr>INSUMOS</vt:lpstr>
      <vt:lpstr>FIBRA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2025-08-05T12:23:50Z</cp:lastPrinted>
  <dcterms:created xsi:type="dcterms:W3CDTF">2024-08-02T15:06:53Z</dcterms:created>
  <dcterms:modified xsi:type="dcterms:W3CDTF">2026-05-12T13:39:59Z</dcterms:modified>
</cp:coreProperties>
</file>